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4E"/>
      </patternFill>
    </fill>
    <fill>
      <patternFill patternType="solid">
        <fgColor rgb="00C6E8C6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70" customWidth="1" min="4" max="4"/>
  </cols>
  <sheetData>
    <row r="1">
      <c r="A1" s="1" t="inlineStr">
        <is>
          <t>Mohamed Amer — Job Application Tracker</t>
        </is>
      </c>
    </row>
    <row r="2">
      <c r="A2" s="2" t="inlineStr">
        <is>
          <t>Customer Success &amp; Account Management — UAE / GCC / Remote</t>
        </is>
      </c>
    </row>
    <row r="4">
      <c r="A4" s="3" t="inlineStr">
        <is>
          <t>By Fit Tier</t>
        </is>
      </c>
      <c r="D4" s="3" t="inlineStr">
        <is>
          <t>How to use this tracker</t>
        </is>
      </c>
    </row>
    <row r="5">
      <c r="A5" s="4" t="inlineStr">
        <is>
          <t>Tier 1 - Strongest fit</t>
        </is>
      </c>
      <c r="B5" s="5">
        <f>COUNTIF('Master Tracker'!A:A,1)</f>
        <v/>
      </c>
      <c r="D5" s="6" t="inlineStr">
        <is>
          <t>1. Sort/filter the Master Tracker sheet by Tier - start with Tier 1 rows.</t>
        </is>
      </c>
    </row>
    <row r="6">
      <c r="A6" s="4" t="inlineStr">
        <is>
          <t>Tier 2 - Solid / transferable</t>
        </is>
      </c>
      <c r="B6" s="5">
        <f>COUNTIF('Master Tracker'!A:A,2)</f>
        <v/>
      </c>
      <c r="D6" s="6" t="inlineStr">
        <is>
          <t>2. Click each URL, confirm the posting is still live, and read the apply method</t>
        </is>
      </c>
    </row>
    <row r="7">
      <c r="A7" s="4" t="inlineStr">
        <is>
          <t>Tier 3 - Weaker / caution</t>
        </is>
      </c>
      <c r="B7" s="5">
        <f>COUNTIF('Master Tracker'!A:A,3)</f>
        <v/>
      </c>
      <c r="D7" s="6" t="inlineStr">
        <is>
          <t xml:space="preserve">   (many show 'Unknown - check listing' because job pages could not be auto-</t>
        </is>
      </c>
    </row>
    <row r="8">
      <c r="A8" s="4" t="inlineStr">
        <is>
          <t>Tier 0 - Excluded</t>
        </is>
      </c>
      <c r="B8" s="5">
        <f>COUNTIF('Master Tracker'!A:A,0)</f>
        <v/>
      </c>
      <c r="D8" s="6" t="inlineStr">
        <is>
          <t xml:space="preserve">   verified this pass - LinkedIn/Indeed/Naukrigulf blocked automated fetches).</t>
        </is>
      </c>
    </row>
    <row r="9">
      <c r="A9" s="4" t="inlineStr">
        <is>
          <t>Total leads</t>
        </is>
      </c>
      <c r="B9" s="5">
        <f>SUM(B5:B8)</f>
        <v/>
      </c>
      <c r="D9" s="6" t="inlineStr">
        <is>
          <t>3. Update Status as you go (dropdown in column B) and log the date applied.</t>
        </is>
      </c>
    </row>
    <row r="10">
      <c r="A10" s="4" t="n"/>
      <c r="B10" s="5" t="n"/>
      <c r="D10" s="6" t="inlineStr">
        <is>
          <t>4. Rows flagged with a possible duplicate/same-employer note in 'Flags / Notes'</t>
        </is>
      </c>
    </row>
    <row r="11">
      <c r="A11" s="7" t="inlineStr">
        <is>
          <t>By Platform</t>
        </is>
      </c>
      <c r="B11" s="5" t="n"/>
      <c r="D11" s="6" t="inlineStr">
        <is>
          <t xml:space="preserve">   point to a related row elsewhere in the sheet - check before double-applying.</t>
        </is>
      </c>
    </row>
    <row r="12">
      <c r="A12" s="4" t="inlineStr">
        <is>
          <t>LinkedIn (incl. bonus finds)</t>
        </is>
      </c>
      <c r="B12" s="5">
        <f>SUMPRODUCT(--ISNUMBER(SEARCH("LinkedIn",'Master Tracker'!C:C)))</f>
        <v/>
      </c>
      <c r="D12" s="6" t="inlineStr">
        <is>
          <t>5. Tier 0 rows are excluded (e.g. nationality-restricted) - kept only for visibility.</t>
        </is>
      </c>
    </row>
    <row r="13">
      <c r="A13" s="4" t="inlineStr">
        <is>
          <t>Indeed</t>
        </is>
      </c>
      <c r="B13" s="5">
        <f>SUMPRODUCT(--ISNUMBER(SEARCH("Indeed",'Master Tracker'!C:C)))</f>
        <v/>
      </c>
    </row>
    <row r="14">
      <c r="A14" s="4" t="inlineStr">
        <is>
          <t>Naukrigulf</t>
        </is>
      </c>
      <c r="B14" s="5">
        <f>SUMPRODUCT(--ISNUMBER(SEARCH("Naukrigulf",'Master Tracker'!C:C)))</f>
        <v/>
      </c>
    </row>
    <row r="15">
      <c r="A15" s="4" t="n"/>
      <c r="B15" s="5" t="n"/>
    </row>
    <row r="16">
      <c r="A16" s="7" t="inlineStr">
        <is>
          <t>By Status</t>
        </is>
      </c>
      <c r="B16" s="5" t="n"/>
    </row>
    <row r="17">
      <c r="A17" s="4" t="inlineStr">
        <is>
          <t>Not started</t>
        </is>
      </c>
      <c r="B17" s="5">
        <f>COUNTIF('Master Tracker'!B:B,A17)</f>
        <v/>
      </c>
    </row>
    <row r="18">
      <c r="A18" s="4" t="inlineStr">
        <is>
          <t>Tailoring in progress</t>
        </is>
      </c>
      <c r="B18" s="5">
        <f>COUNTIF('Master Tracker'!B:B,A18)</f>
        <v/>
      </c>
    </row>
    <row r="19">
      <c r="A19" s="4" t="inlineStr">
        <is>
          <t>Applied</t>
        </is>
      </c>
      <c r="B19" s="5">
        <f>COUNTIF('Master Tracker'!B:B,A19)</f>
        <v/>
      </c>
    </row>
    <row r="20">
      <c r="A20" s="4" t="inlineStr">
        <is>
          <t>Interview</t>
        </is>
      </c>
      <c r="B20" s="5">
        <f>COUNTIF('Master Tracker'!B:B,A20)</f>
        <v/>
      </c>
    </row>
    <row r="21">
      <c r="A21" s="4" t="inlineStr">
        <is>
          <t>Rejected</t>
        </is>
      </c>
      <c r="B21" s="5">
        <f>COUNTIF('Master Tracker'!B:B,A21)</f>
        <v/>
      </c>
    </row>
    <row r="22">
      <c r="A22" s="4" t="inlineStr">
        <is>
          <t>Offer</t>
        </is>
      </c>
      <c r="B22" s="5">
        <f>COUNTIF('Master Tracker'!B:B,A22)</f>
        <v/>
      </c>
    </row>
    <row r="23">
      <c r="A23" s="4" t="inlineStr">
        <is>
          <t>Withdrawn</t>
        </is>
      </c>
      <c r="B23" s="5">
        <f>COUNTIF('Master Tracker'!B:B,A23)</f>
        <v/>
      </c>
    </row>
    <row r="24">
      <c r="A24" s="4" t="n"/>
      <c r="B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34" customWidth="1" min="4" max="4"/>
    <col width="24" customWidth="1" min="5" max="5"/>
    <col width="20" customWidth="1" min="6" max="6"/>
    <col width="24" customWidth="1" min="7" max="7"/>
    <col width="40" customWidth="1" min="8" max="8"/>
    <col width="46" customWidth="1" min="9" max="9"/>
    <col width="13" customWidth="1" min="10" max="10"/>
    <col width="24" customWidth="1" min="11" max="11"/>
    <col width="22" customWidth="1" min="12" max="12"/>
    <col width="40" customWidth="1" min="13" max="13"/>
  </cols>
  <sheetData>
    <row r="1" ht="28" customHeight="1">
      <c r="A1" s="8" t="inlineStr">
        <is>
          <t>Tier</t>
        </is>
      </c>
      <c r="B1" s="8" t="inlineStr">
        <is>
          <t>Status</t>
        </is>
      </c>
      <c r="C1" s="8" t="inlineStr">
        <is>
          <t>Platform</t>
        </is>
      </c>
      <c r="D1" s="8" t="inlineStr">
        <is>
          <t>Job Title</t>
        </is>
      </c>
      <c r="E1" s="8" t="inlineStr">
        <is>
          <t>Company</t>
        </is>
      </c>
      <c r="F1" s="8" t="inlineStr">
        <is>
          <t>Location</t>
        </is>
      </c>
      <c r="G1" s="8" t="inlineStr">
        <is>
          <t>Apply Method</t>
        </is>
      </c>
      <c r="H1" s="8" t="inlineStr">
        <is>
          <t>Flags / Notes</t>
        </is>
      </c>
      <c r="I1" s="8" t="inlineStr">
        <is>
          <t>URL(s)</t>
        </is>
      </c>
      <c r="J1" s="8" t="inlineStr">
        <is>
          <t>Date Applied</t>
        </is>
      </c>
      <c r="K1" s="8" t="inlineStr">
        <is>
          <t>Notes</t>
        </is>
      </c>
      <c r="L1" s="8" t="inlineStr">
        <is>
          <t>Resume Variant</t>
        </is>
      </c>
      <c r="M1" s="8" t="inlineStr">
        <is>
          <t>Tailored Materials</t>
        </is>
      </c>
    </row>
    <row r="2">
      <c r="A2" s="9" t="n">
        <v>1</v>
      </c>
      <c r="B2" s="10" t="inlineStr">
        <is>
          <t>Not started</t>
        </is>
      </c>
      <c r="C2" s="10" t="inlineStr">
        <is>
          <t>LinkedIn</t>
        </is>
      </c>
      <c r="D2" s="11" t="inlineStr">
        <is>
          <t>Customer Success Manager</t>
        </is>
      </c>
      <c r="E2" s="11" t="inlineStr">
        <is>
          <t>Cloudflare</t>
        </is>
      </c>
      <c r="F2" s="10" t="inlineStr">
        <is>
          <t>Dubai, UAE</t>
        </is>
      </c>
      <c r="G2" s="10" t="inlineStr">
        <is>
          <t>Likely External (also on Greenhouse)</t>
        </is>
      </c>
      <c r="H2" s="11" t="inlineStr"/>
      <c r="I2" s="11" t="inlineStr">
        <is>
          <t>https://ae.linkedin.com/jobs/view/customer-success-manager-dubai-at-cloudflare-4299217237</t>
        </is>
      </c>
      <c r="J2" s="10" t="inlineStr"/>
      <c r="K2" s="10" t="inlineStr"/>
      <c r="L2" s="26" t="inlineStr">
        <is>
          <t>CSM — Mohamed_Amer_CV_ATS_CSM.pdf</t>
        </is>
      </c>
      <c r="M2" s="26" t="inlineStr">
        <is>
          <t>Ready — job-search/Tailored_Applications_Tier1.md #1</t>
        </is>
      </c>
    </row>
    <row r="3">
      <c r="A3" s="9" t="n">
        <v>1</v>
      </c>
      <c r="B3" s="10" t="inlineStr">
        <is>
          <t>Not started</t>
        </is>
      </c>
      <c r="C3" s="10" t="inlineStr">
        <is>
          <t>LinkedIn</t>
        </is>
      </c>
      <c r="D3" s="11" t="inlineStr">
        <is>
          <t>Customer Success Manager</t>
        </is>
      </c>
      <c r="E3" s="11" t="inlineStr">
        <is>
          <t>Salesforce</t>
        </is>
      </c>
      <c r="F3" s="10" t="inlineStr">
        <is>
          <t>Dubai, UAE</t>
        </is>
      </c>
      <c r="G3" s="10" t="inlineStr">
        <is>
          <t>Unknown - check listing</t>
        </is>
      </c>
      <c r="H3" s="11" t="inlineStr"/>
      <c r="I3" s="11" t="inlineStr">
        <is>
          <t>https://www.linkedin.com/jobs/view/4377440197/</t>
        </is>
      </c>
      <c r="J3" s="10" t="inlineStr"/>
      <c r="K3" s="10" t="inlineStr"/>
      <c r="L3" s="26" t="inlineStr">
        <is>
          <t>CSM — Mohamed_Amer_CV_ATS_CSM.pdf</t>
        </is>
      </c>
      <c r="M3" s="26" t="inlineStr">
        <is>
          <t>Ready — job-search/Tailored_Applications_Tier1.md #2</t>
        </is>
      </c>
    </row>
    <row r="4">
      <c r="A4" s="9" t="n">
        <v>1</v>
      </c>
      <c r="B4" s="10" t="inlineStr">
        <is>
          <t>Not started</t>
        </is>
      </c>
      <c r="C4" s="10" t="inlineStr">
        <is>
          <t>LinkedIn</t>
        </is>
      </c>
      <c r="D4" s="11" t="inlineStr">
        <is>
          <t>Customer Success Manager (East/MEA)</t>
        </is>
      </c>
      <c r="E4" s="11" t="inlineStr">
        <is>
          <t>Pentera</t>
        </is>
      </c>
      <c r="F4" s="10" t="inlineStr">
        <is>
          <t>Dubai, UAE</t>
        </is>
      </c>
      <c r="G4" s="10" t="inlineStr">
        <is>
          <t>Unknown - check listing</t>
        </is>
      </c>
      <c r="H4" s="11" t="inlineStr">
        <is>
          <t>Cybersecurity SaaS</t>
        </is>
      </c>
      <c r="I4" s="11" t="inlineStr">
        <is>
          <t>https://www.linkedin.com/jobs/view/customer-success-manager-east-at-pentera-4365402217</t>
        </is>
      </c>
      <c r="J4" s="10" t="inlineStr"/>
      <c r="K4" s="10" t="inlineStr"/>
      <c r="L4" s="26" t="inlineStr">
        <is>
          <t>CSM — Mohamed_Amer_CV_ATS_CSM.pdf</t>
        </is>
      </c>
      <c r="M4" s="26" t="inlineStr">
        <is>
          <t>Ready — job-search/Tailored_Applications_Tier1.md #3</t>
        </is>
      </c>
    </row>
    <row r="5">
      <c r="A5" s="9" t="n">
        <v>1</v>
      </c>
      <c r="B5" s="10" t="inlineStr">
        <is>
          <t>Not started</t>
        </is>
      </c>
      <c r="C5" s="10" t="inlineStr">
        <is>
          <t>LinkedIn</t>
        </is>
      </c>
      <c r="D5" s="11" t="inlineStr">
        <is>
          <t>Customer Success Manager</t>
        </is>
      </c>
      <c r="E5" s="11" t="inlineStr">
        <is>
          <t>Nozomi Networks</t>
        </is>
      </c>
      <c r="F5" s="10" t="inlineStr">
        <is>
          <t>Dubai, UAE</t>
        </is>
      </c>
      <c r="G5" s="10" t="inlineStr">
        <is>
          <t>Unknown - check listing</t>
        </is>
      </c>
      <c r="H5" s="11" t="inlineStr">
        <is>
          <t>OT/IoT security SaaS</t>
        </is>
      </c>
      <c r="I5" s="11" t="inlineStr">
        <is>
          <t>https://ae.linkedin.com/jobs/view/customer-success-manager-at-nozomi-networks-2976704414</t>
        </is>
      </c>
      <c r="J5" s="10" t="inlineStr"/>
      <c r="K5" s="10" t="inlineStr"/>
      <c r="L5" s="26" t="inlineStr">
        <is>
          <t>CSM — Mohamed_Amer_CV_ATS_CSM.pdf</t>
        </is>
      </c>
      <c r="M5" s="26" t="inlineStr">
        <is>
          <t>Ready — job-search/Tailored_Applications_Tier1.md #4</t>
        </is>
      </c>
    </row>
    <row r="6">
      <c r="A6" s="9" t="n">
        <v>1</v>
      </c>
      <c r="B6" s="10" t="inlineStr">
        <is>
          <t>Not started</t>
        </is>
      </c>
      <c r="C6" s="10" t="inlineStr">
        <is>
          <t>LinkedIn</t>
        </is>
      </c>
      <c r="D6" s="11" t="inlineStr">
        <is>
          <t>Customer Success Manager</t>
        </is>
      </c>
      <c r="E6" s="11" t="inlineStr">
        <is>
          <t>CyberArrow</t>
        </is>
      </c>
      <c r="F6" s="10" t="inlineStr">
        <is>
          <t>Dubai, UAE</t>
        </is>
      </c>
      <c r="G6" s="10" t="inlineStr">
        <is>
          <t>Unknown - check listing</t>
        </is>
      </c>
      <c r="H6" s="11" t="inlineStr"/>
      <c r="I6" s="11" t="inlineStr">
        <is>
          <t>https://ae.linkedin.com/jobs/view/customer-success-manager-at-cyberarrow-formerly-ebdaa-2849972563</t>
        </is>
      </c>
      <c r="J6" s="10" t="inlineStr"/>
      <c r="K6" s="10" t="inlineStr"/>
      <c r="L6" s="26" t="inlineStr">
        <is>
          <t>CSM — Mohamed_Amer_CV_ATS_CSM.pdf</t>
        </is>
      </c>
      <c r="M6" s="26" t="inlineStr">
        <is>
          <t>Ready — job-search/Tailored_Applications_Tier1.md #5</t>
        </is>
      </c>
    </row>
    <row r="7">
      <c r="A7" s="9" t="n">
        <v>1</v>
      </c>
      <c r="B7" s="10" t="inlineStr">
        <is>
          <t>Not started</t>
        </is>
      </c>
      <c r="C7" s="10" t="inlineStr">
        <is>
          <t>LinkedIn</t>
        </is>
      </c>
      <c r="D7" s="11" t="inlineStr">
        <is>
          <t>Enterprise Customer Success Manager, UAE</t>
        </is>
      </c>
      <c r="E7" s="11" t="inlineStr">
        <is>
          <t>Teramind</t>
        </is>
      </c>
      <c r="F7" s="10" t="inlineStr">
        <is>
          <t>UAE</t>
        </is>
      </c>
      <c r="G7" s="10" t="inlineStr">
        <is>
          <t>Likely External</t>
        </is>
      </c>
      <c r="H7" s="11" t="inlineStr"/>
      <c r="I7" s="11" t="inlineStr">
        <is>
          <t>https://ae.linkedin.com/jobs/view/enterprise-customer-success-manager-uae-at-teramind-4230041012</t>
        </is>
      </c>
      <c r="J7" s="10" t="inlineStr"/>
      <c r="K7" s="10" t="inlineStr"/>
      <c r="L7" s="26" t="inlineStr">
        <is>
          <t>CSM — Mohamed_Amer_CV_ATS_CSM.pdf</t>
        </is>
      </c>
      <c r="M7" s="26" t="inlineStr">
        <is>
          <t>Ready — job-search/Tailored_Applications_Tier1.md #6</t>
        </is>
      </c>
    </row>
    <row r="8">
      <c r="A8" s="12" t="n">
        <v>2</v>
      </c>
      <c r="B8" s="13" t="inlineStr">
        <is>
          <t>Not started</t>
        </is>
      </c>
      <c r="C8" s="13" t="inlineStr">
        <is>
          <t>LinkedIn</t>
        </is>
      </c>
      <c r="D8" s="14" t="inlineStr">
        <is>
          <t>Customer Success Manager</t>
        </is>
      </c>
      <c r="E8" s="14" t="inlineStr">
        <is>
          <t>Puulse Marketing HQ</t>
        </is>
      </c>
      <c r="F8" s="13" t="inlineStr">
        <is>
          <t>Dubai, UAE</t>
        </is>
      </c>
      <c r="G8" s="13" t="inlineStr">
        <is>
          <t>Unknown - check listing</t>
        </is>
      </c>
      <c r="H8" s="14" t="inlineStr">
        <is>
          <t>Marketing agency, weaker SaaS fit</t>
        </is>
      </c>
      <c r="I8" s="14" t="inlineStr">
        <is>
          <t>https://uk.linkedin.com/jobs/view/customer-success-manager-puulse-marketing-hq-dubai-at-puulse-marketing-4046603520</t>
        </is>
      </c>
      <c r="J8" s="13" t="inlineStr"/>
      <c r="K8" s="13" t="inlineStr"/>
      <c r="L8" s="26" t="inlineStr"/>
      <c r="M8" s="26" t="inlineStr"/>
    </row>
    <row r="9">
      <c r="A9" s="12" t="n">
        <v>2</v>
      </c>
      <c r="B9" s="13" t="inlineStr">
        <is>
          <t>Not started</t>
        </is>
      </c>
      <c r="C9" s="13" t="inlineStr">
        <is>
          <t>LinkedIn</t>
        </is>
      </c>
      <c r="D9" s="14" t="inlineStr">
        <is>
          <t>Customer Success Manager</t>
        </is>
      </c>
      <c r="E9" s="14" t="inlineStr">
        <is>
          <t>Curral</t>
        </is>
      </c>
      <c r="F9" s="13" t="inlineStr">
        <is>
          <t>Dubai, UAE</t>
        </is>
      </c>
      <c r="G9" s="13" t="inlineStr">
        <is>
          <t>Unknown - check listing</t>
        </is>
      </c>
      <c r="H9" s="14" t="inlineStr">
        <is>
          <t>Company unclear, verify</t>
        </is>
      </c>
      <c r="I9" s="14" t="inlineStr">
        <is>
          <t>https://uk.linkedin.com/jobs/view/customer-success-manager-at-curral-4247977370</t>
        </is>
      </c>
      <c r="J9" s="13" t="inlineStr"/>
      <c r="K9" s="13" t="inlineStr"/>
      <c r="L9" s="26" t="inlineStr"/>
      <c r="M9" s="26" t="inlineStr"/>
    </row>
    <row r="10">
      <c r="A10" s="9" t="n">
        <v>1</v>
      </c>
      <c r="B10" s="10" t="inlineStr">
        <is>
          <t>Not started</t>
        </is>
      </c>
      <c r="C10" s="10" t="inlineStr">
        <is>
          <t>LinkedIn</t>
        </is>
      </c>
      <c r="D10" s="11" t="inlineStr">
        <is>
          <t>Customer Success Manager, Deel-IT</t>
        </is>
      </c>
      <c r="E10" s="11" t="inlineStr">
        <is>
          <t>Deel</t>
        </is>
      </c>
      <c r="F10" s="10" t="inlineStr">
        <is>
          <t>Remote (multi-location)</t>
        </is>
      </c>
      <c r="G10" s="10" t="inlineStr">
        <is>
          <t>Unknown - check listing</t>
        </is>
      </c>
      <c r="H10" s="11" t="inlineStr">
        <is>
          <t>Verify UAE eligibility</t>
        </is>
      </c>
      <c r="I10" s="11" t="inlineStr">
        <is>
          <t>https://www.linkedin.com/jobs/view/customer-success-manager-deel-it-at-deel-4212176569</t>
        </is>
      </c>
      <c r="J10" s="10" t="inlineStr"/>
      <c r="K10" s="10" t="inlineStr"/>
      <c r="L10" s="26" t="inlineStr">
        <is>
          <t>CSM — Mohamed_Amer_CV_ATS_CSM.pdf</t>
        </is>
      </c>
      <c r="M10" s="26" t="inlineStr">
        <is>
          <t>Ready — job-search/Tailored_Applications_Tier1.md #7</t>
        </is>
      </c>
    </row>
    <row r="11">
      <c r="A11" s="9" t="n">
        <v>1</v>
      </c>
      <c r="B11" s="10" t="inlineStr">
        <is>
          <t>Not started</t>
        </is>
      </c>
      <c r="C11" s="10" t="inlineStr">
        <is>
          <t>LinkedIn + Naukrigulf</t>
        </is>
      </c>
      <c r="D11" s="11" t="inlineStr">
        <is>
          <t>Lead Customer Success Manager</t>
        </is>
      </c>
      <c r="E11" s="11" t="inlineStr">
        <is>
          <t>BMC Software</t>
        </is>
      </c>
      <c r="F11" s="10" t="inlineStr">
        <is>
          <t>Saudi Arabia</t>
        </is>
      </c>
      <c r="G11" s="10" t="inlineStr">
        <is>
          <t>Likely External (also on jobs.bmc.com)</t>
        </is>
      </c>
      <c r="H11" s="11" t="inlineStr">
        <is>
          <t>Found on both platforms - one application</t>
        </is>
      </c>
      <c r="I11" s="11" t="inlineStr">
        <is>
          <t>https://sa.linkedin.com/jobs/view/lead-customer-success-manager-saudi-arabia-at-bmc-software-4430119159 | https://www.naukrigulf.com/lead-customer-success-manager-jobs-in-saudi-arabia-in-bmc-software-1-to-7-years-n-cd-10002879-jid-070726501626</t>
        </is>
      </c>
      <c r="J11" s="10" t="inlineStr"/>
      <c r="K11" s="10" t="inlineStr"/>
      <c r="L11" s="26" t="inlineStr">
        <is>
          <t>CSM — Mohamed_Amer_CV_ATS_CSM.pdf</t>
        </is>
      </c>
      <c r="M11" s="26" t="inlineStr">
        <is>
          <t>Ready — job-search/Tailored_Applications_Tier1.md #8</t>
        </is>
      </c>
    </row>
    <row r="12">
      <c r="A12" s="9" t="n">
        <v>1</v>
      </c>
      <c r="B12" s="10" t="inlineStr">
        <is>
          <t>Not started</t>
        </is>
      </c>
      <c r="C12" s="10" t="inlineStr">
        <is>
          <t>LinkedIn</t>
        </is>
      </c>
      <c r="D12" s="11" t="inlineStr">
        <is>
          <t>Customer Success Manager</t>
        </is>
      </c>
      <c r="E12" s="11" t="inlineStr">
        <is>
          <t>CNTXT (Aramco Digital/Alat)</t>
        </is>
      </c>
      <c r="F12" s="10" t="inlineStr">
        <is>
          <t>Eastern Province, KSA</t>
        </is>
      </c>
      <c r="G12" s="10" t="inlineStr">
        <is>
          <t>Unknown - check listing</t>
        </is>
      </c>
      <c r="H12" s="11" t="inlineStr"/>
      <c r="I12" s="11" t="inlineStr">
        <is>
          <t>https://www.linkedin.com/jobs/view/4418916410/</t>
        </is>
      </c>
      <c r="J12" s="10" t="inlineStr"/>
      <c r="K12" s="10" t="inlineStr"/>
      <c r="L12" s="26" t="inlineStr">
        <is>
          <t>CSM — Mohamed_Amer_CV_ATS_CSM.pdf</t>
        </is>
      </c>
      <c r="M12" s="26" t="inlineStr">
        <is>
          <t>Ready — job-search/Tailored_Applications_Tier1.md #9</t>
        </is>
      </c>
    </row>
    <row r="13">
      <c r="A13" s="9" t="n">
        <v>1</v>
      </c>
      <c r="B13" s="10" t="inlineStr">
        <is>
          <t>Not started</t>
        </is>
      </c>
      <c r="C13" s="10" t="inlineStr">
        <is>
          <t>LinkedIn</t>
        </is>
      </c>
      <c r="D13" s="11" t="inlineStr">
        <is>
          <t>Customer Success Manager</t>
        </is>
      </c>
      <c r="E13" s="11" t="inlineStr">
        <is>
          <t>Aramco Digital</t>
        </is>
      </c>
      <c r="F13" s="10" t="inlineStr">
        <is>
          <t>Dhahran, KSA</t>
        </is>
      </c>
      <c r="G13" s="10" t="inlineStr">
        <is>
          <t>Unknown - check listing</t>
        </is>
      </c>
      <c r="H13" s="11" t="inlineStr"/>
      <c r="I13" s="11" t="inlineStr">
        <is>
          <t>https://www.linkedin.com/jobs/view/4408637804/</t>
        </is>
      </c>
      <c r="J13" s="10" t="inlineStr"/>
      <c r="K13" s="10" t="inlineStr"/>
      <c r="L13" s="26" t="inlineStr">
        <is>
          <t>CSM — Mohamed_Amer_CV_ATS_CSM.pdf</t>
        </is>
      </c>
      <c r="M13" s="26" t="inlineStr">
        <is>
          <t>Ready — job-search/Tailored_Applications_Tier1.md #10</t>
        </is>
      </c>
    </row>
    <row r="14">
      <c r="A14" s="9" t="n">
        <v>1</v>
      </c>
      <c r="B14" s="10" t="inlineStr">
        <is>
          <t>Not started</t>
        </is>
      </c>
      <c r="C14" s="10" t="inlineStr">
        <is>
          <t>LinkedIn</t>
        </is>
      </c>
      <c r="D14" s="11" t="inlineStr">
        <is>
          <t>Customer Success Manager, Saudi Arabia (Remote)</t>
        </is>
      </c>
      <c r="E14" s="11" t="inlineStr">
        <is>
          <t>Immersive</t>
        </is>
      </c>
      <c r="F14" s="10" t="inlineStr">
        <is>
          <t>KSA, remote</t>
        </is>
      </c>
      <c r="G14" s="10" t="inlineStr">
        <is>
          <t>Unknown - check listing</t>
        </is>
      </c>
      <c r="H14" s="11" t="inlineStr">
        <is>
          <t>Cybersecurity skills SaaS</t>
        </is>
      </c>
      <c r="I14" s="11" t="inlineStr">
        <is>
          <t>https://www.linkedin.com/jobs/view/customer-success-manager-saudi-arabia-remote-at-immersive-4129204358</t>
        </is>
      </c>
      <c r="J14" s="10" t="inlineStr"/>
      <c r="K14" s="10" t="inlineStr"/>
      <c r="L14" s="26" t="inlineStr">
        <is>
          <t>CSM — Mohamed_Amer_CV_ATS_CSM.pdf</t>
        </is>
      </c>
      <c r="M14" s="26" t="inlineStr">
        <is>
          <t>Ready — job-search/Tailored_Applications_Tier1.md #11</t>
        </is>
      </c>
    </row>
    <row r="15">
      <c r="A15" s="12" t="n">
        <v>2</v>
      </c>
      <c r="B15" s="13" t="inlineStr">
        <is>
          <t>Not started</t>
        </is>
      </c>
      <c r="C15" s="13" t="inlineStr">
        <is>
          <t>LinkedIn</t>
        </is>
      </c>
      <c r="D15" s="14" t="inlineStr">
        <is>
          <t>Customer Success Manager</t>
        </is>
      </c>
      <c r="E15" s="14" t="inlineStr">
        <is>
          <t>Bizzdesign</t>
        </is>
      </c>
      <c r="F15" s="13" t="inlineStr">
        <is>
          <t>Riyadh, KSA</t>
        </is>
      </c>
      <c r="G15" s="13" t="inlineStr">
        <is>
          <t>Likely External (own careers site)</t>
        </is>
      </c>
      <c r="H15" s="14" t="inlineStr">
        <is>
          <t>Exact posting unconfirmed, verify</t>
        </is>
      </c>
      <c r="I15" s="14" t="inlineStr">
        <is>
          <t>https://www.linkedin.com/jobs/view/4208108378/</t>
        </is>
      </c>
      <c r="J15" s="13" t="inlineStr"/>
      <c r="K15" s="13" t="inlineStr"/>
      <c r="L15" s="26" t="inlineStr"/>
      <c r="M15" s="26" t="inlineStr"/>
    </row>
    <row r="16">
      <c r="A16" s="9" t="n">
        <v>1</v>
      </c>
      <c r="B16" s="10" t="inlineStr">
        <is>
          <t>Not started</t>
        </is>
      </c>
      <c r="C16" s="10" t="inlineStr">
        <is>
          <t>LinkedIn</t>
        </is>
      </c>
      <c r="D16" s="11" t="inlineStr">
        <is>
          <t>Renewals Account Manager, Dubai, UAE</t>
        </is>
      </c>
      <c r="E16" s="11" t="inlineStr">
        <is>
          <t>Sprinklr</t>
        </is>
      </c>
      <c r="F16" s="10" t="inlineStr">
        <is>
          <t>Dubai, UAE</t>
        </is>
      </c>
      <c r="G16" s="10" t="inlineStr">
        <is>
          <t>Unknown - check listing</t>
        </is>
      </c>
      <c r="H16" s="11" t="inlineStr">
        <is>
          <t>Direct renewals-title match</t>
        </is>
      </c>
      <c r="I16" s="11" t="inlineStr">
        <is>
          <t>https://ae.linkedin.com/jobs/view/renewals-account-manager-dubai-uae-at-sprinklr-3967897600</t>
        </is>
      </c>
      <c r="J16" s="10" t="inlineStr"/>
      <c r="K16" s="10" t="inlineStr"/>
      <c r="L16" s="26" t="inlineStr">
        <is>
          <t>AM — Mohamed_Amer_CV_ATS_AM.pdf</t>
        </is>
      </c>
      <c r="M16" s="26" t="inlineStr">
        <is>
          <t>Ready — job-search/Tailored_Applications_Tier1.md #12</t>
        </is>
      </c>
    </row>
    <row r="17">
      <c r="A17" s="9" t="n">
        <v>1</v>
      </c>
      <c r="B17" s="10" t="inlineStr">
        <is>
          <t>Not started</t>
        </is>
      </c>
      <c r="C17" s="10" t="inlineStr">
        <is>
          <t>LinkedIn</t>
        </is>
      </c>
      <c r="D17" s="11" t="inlineStr">
        <is>
          <t>Renewals Account Manager, Dubai (Remote UAE)</t>
        </is>
      </c>
      <c r="E17" s="11" t="inlineStr">
        <is>
          <t>Immersive</t>
        </is>
      </c>
      <c r="F17" s="10" t="inlineStr">
        <is>
          <t>Dubai / remote UAE</t>
        </is>
      </c>
      <c r="G17" s="10" t="inlineStr">
        <is>
          <t>Unknown - check listing</t>
        </is>
      </c>
      <c r="H17" s="11" t="inlineStr">
        <is>
          <t>Direct renewals-title match</t>
        </is>
      </c>
      <c r="I17" s="11" t="inlineStr">
        <is>
          <t>https://www.linkedin.com/jobs/view/renewals-account-manager-dubai-remote-in-uae-at-immersive-4146780941</t>
        </is>
      </c>
      <c r="J17" s="10" t="inlineStr"/>
      <c r="K17" s="10" t="inlineStr"/>
      <c r="L17" s="26" t="inlineStr">
        <is>
          <t>AM — Mohamed_Amer_CV_ATS_AM.pdf</t>
        </is>
      </c>
      <c r="M17" s="26" t="inlineStr">
        <is>
          <t>Ready — job-search/Tailored_Applications_Tier1.md #13</t>
        </is>
      </c>
    </row>
    <row r="18">
      <c r="A18" s="9" t="n">
        <v>1</v>
      </c>
      <c r="B18" s="10" t="inlineStr">
        <is>
          <t>Not started</t>
        </is>
      </c>
      <c r="C18" s="10" t="inlineStr">
        <is>
          <t>LinkedIn</t>
        </is>
      </c>
      <c r="D18" s="11" t="inlineStr">
        <is>
          <t>Account Manager - Public Sector and Enterprise</t>
        </is>
      </c>
      <c r="E18" s="11" t="inlineStr">
        <is>
          <t>IBM</t>
        </is>
      </c>
      <c r="F18" s="10" t="inlineStr">
        <is>
          <t>Dubai, UAE</t>
        </is>
      </c>
      <c r="G18" s="10" t="inlineStr">
        <is>
          <t>Unknown - check listing</t>
        </is>
      </c>
      <c r="H18" s="11" t="inlineStr"/>
      <c r="I18" s="11" t="inlineStr">
        <is>
          <t>https://ae.linkedin.com/jobs/view/account-manager-dubai-public-sector-and-enterprise-at-ibm-3781743599</t>
        </is>
      </c>
      <c r="J18" s="10" t="inlineStr"/>
      <c r="K18" s="10" t="inlineStr"/>
      <c r="L18" s="26" t="inlineStr">
        <is>
          <t>AM — Mohamed_Amer_CV_ATS_AM.pdf</t>
        </is>
      </c>
      <c r="M18" s="26" t="inlineStr">
        <is>
          <t>Ready — job-search/Tailored_Applications_Tier1.md #14</t>
        </is>
      </c>
    </row>
    <row r="19">
      <c r="A19" s="9" t="n">
        <v>1</v>
      </c>
      <c r="B19" s="10" t="inlineStr">
        <is>
          <t>Not started</t>
        </is>
      </c>
      <c r="C19" s="10" t="inlineStr">
        <is>
          <t>LinkedIn</t>
        </is>
      </c>
      <c r="D19" s="11" t="inlineStr">
        <is>
          <t>Key Account Manager</t>
        </is>
      </c>
      <c r="E19" s="11" t="inlineStr">
        <is>
          <t>Careem</t>
        </is>
      </c>
      <c r="F19" s="10" t="inlineStr">
        <is>
          <t>Dubai, UAE</t>
        </is>
      </c>
      <c r="G19" s="10" t="inlineStr">
        <is>
          <t>Likely External (also on Greenhouse)</t>
        </is>
      </c>
      <c r="H19" s="11" t="inlineStr">
        <is>
          <t>Major regional tech brand</t>
        </is>
      </c>
      <c r="I19" s="11" t="inlineStr">
        <is>
          <t>https://www.linkedin.com/jobs/view/4144108813/</t>
        </is>
      </c>
      <c r="J19" s="10" t="inlineStr"/>
      <c r="K19" s="10" t="inlineStr"/>
      <c r="L19" s="26" t="inlineStr">
        <is>
          <t>AM — Mohamed_Amer_CV_ATS_AM.pdf</t>
        </is>
      </c>
      <c r="M19" s="26" t="inlineStr">
        <is>
          <t>Ready — job-search/Tailored_Applications_Tier1.md #15</t>
        </is>
      </c>
    </row>
    <row r="20">
      <c r="A20" s="9" t="n">
        <v>1</v>
      </c>
      <c r="B20" s="10" t="inlineStr">
        <is>
          <t>Not started</t>
        </is>
      </c>
      <c r="C20" s="10" t="inlineStr">
        <is>
          <t>LinkedIn</t>
        </is>
      </c>
      <c r="D20" s="11" t="inlineStr">
        <is>
          <t>Sales Account Manager, Dubai, UAE</t>
        </is>
      </c>
      <c r="E20" s="11" t="inlineStr">
        <is>
          <t>GlobalSign</t>
        </is>
      </c>
      <c r="F20" s="10" t="inlineStr">
        <is>
          <t>Dubai, UAE</t>
        </is>
      </c>
      <c r="G20" s="10" t="inlineStr">
        <is>
          <t>Unknown - check listing</t>
        </is>
      </c>
      <c r="H20" s="11" t="inlineStr">
        <is>
          <t>PKI/digital certificate SaaS</t>
        </is>
      </c>
      <c r="I20" s="11" t="inlineStr">
        <is>
          <t>https://in.linkedin.com/jobs/view/sales-account-manager-dubai-uae-at-globalsign-4435533361</t>
        </is>
      </c>
      <c r="J20" s="10" t="inlineStr"/>
      <c r="K20" s="10" t="inlineStr"/>
      <c r="L20" s="26" t="inlineStr">
        <is>
          <t>AM — Mohamed_Amer_CV_ATS_AM.pdf</t>
        </is>
      </c>
      <c r="M20" s="26" t="inlineStr">
        <is>
          <t>Ready — job-search/Tailored_Applications_Tier1.md #16</t>
        </is>
      </c>
    </row>
    <row r="21">
      <c r="A21" s="12" t="n">
        <v>2</v>
      </c>
      <c r="B21" s="13" t="inlineStr">
        <is>
          <t>Not started</t>
        </is>
      </c>
      <c r="C21" s="13" t="inlineStr">
        <is>
          <t>LinkedIn</t>
        </is>
      </c>
      <c r="D21" s="14" t="inlineStr">
        <is>
          <t>Key Account Manager</t>
        </is>
      </c>
      <c r="E21" s="14" t="inlineStr">
        <is>
          <t>Equinox Technologies</t>
        </is>
      </c>
      <c r="F21" s="13" t="inlineStr">
        <is>
          <t>Dubai, UAE</t>
        </is>
      </c>
      <c r="G21" s="13" t="inlineStr">
        <is>
          <t>Unknown - check listing</t>
        </is>
      </c>
      <c r="H21" s="14" t="inlineStr"/>
      <c r="I21" s="14" t="inlineStr">
        <is>
          <t>https://ae.linkedin.com/jobs/view/key-account-manager-at-equinox-technologies-2880205362</t>
        </is>
      </c>
      <c r="J21" s="13" t="inlineStr"/>
      <c r="K21" s="13" t="inlineStr"/>
      <c r="L21" s="26" t="inlineStr"/>
      <c r="M21" s="26" t="inlineStr"/>
    </row>
    <row r="22">
      <c r="A22" s="12" t="n">
        <v>2</v>
      </c>
      <c r="B22" s="13" t="inlineStr">
        <is>
          <t>Not started</t>
        </is>
      </c>
      <c r="C22" s="13" t="inlineStr">
        <is>
          <t>LinkedIn</t>
        </is>
      </c>
      <c r="D22" s="14" t="inlineStr">
        <is>
          <t>Key Account Manager (IT)</t>
        </is>
      </c>
      <c r="E22" s="14" t="inlineStr">
        <is>
          <t>GIGBAY Middle East DMCC</t>
        </is>
      </c>
      <c r="F22" s="13" t="inlineStr">
        <is>
          <t>Dubai, UAE</t>
        </is>
      </c>
      <c r="G22" s="13" t="inlineStr">
        <is>
          <t>Unknown - check listing</t>
        </is>
      </c>
      <c r="H22" s="14" t="inlineStr"/>
      <c r="I22" s="14" t="inlineStr">
        <is>
          <t>https://ae.linkedin.com/jobs/view/key-account-manager-it-at-gigbay-middle-east-dmcc-2860808093</t>
        </is>
      </c>
      <c r="J22" s="13" t="inlineStr"/>
      <c r="K22" s="13" t="inlineStr"/>
      <c r="L22" s="26" t="inlineStr"/>
      <c r="M22" s="26" t="inlineStr"/>
    </row>
    <row r="23">
      <c r="A23" s="12" t="n">
        <v>2</v>
      </c>
      <c r="B23" s="13" t="inlineStr">
        <is>
          <t>Not started</t>
        </is>
      </c>
      <c r="C23" s="13" t="inlineStr">
        <is>
          <t>LinkedIn</t>
        </is>
      </c>
      <c r="D23" s="14" t="inlineStr">
        <is>
          <t>Key Account Manager</t>
        </is>
      </c>
      <c r="E23" s="14" t="inlineStr">
        <is>
          <t>CoolIT Systems</t>
        </is>
      </c>
      <c r="F23" s="13" t="inlineStr">
        <is>
          <t>Dubai, UAE</t>
        </is>
      </c>
      <c r="G23" s="13" t="inlineStr">
        <is>
          <t>Unknown - check listing</t>
        </is>
      </c>
      <c r="H23" s="14" t="inlineStr">
        <is>
          <t>Data-center cooling tech</t>
        </is>
      </c>
      <c r="I23" s="14" t="inlineStr">
        <is>
          <t>https://www.linkedin.com/jobs/view/4433419921/</t>
        </is>
      </c>
      <c r="J23" s="13" t="inlineStr"/>
      <c r="K23" s="13" t="inlineStr"/>
      <c r="L23" s="26" t="inlineStr"/>
      <c r="M23" s="26" t="inlineStr"/>
    </row>
    <row r="24">
      <c r="A24" s="9" t="n">
        <v>1</v>
      </c>
      <c r="B24" s="10" t="inlineStr">
        <is>
          <t>Not started</t>
        </is>
      </c>
      <c r="C24" s="10" t="inlineStr">
        <is>
          <t>LinkedIn</t>
        </is>
      </c>
      <c r="D24" s="11" t="inlineStr">
        <is>
          <t>Senior Sales Account Manager</t>
        </is>
      </c>
      <c r="E24" s="11" t="inlineStr">
        <is>
          <t>Bayut.com (Dubizzle Group)</t>
        </is>
      </c>
      <c r="F24" s="10" t="inlineStr">
        <is>
          <t>Dubai, UAE</t>
        </is>
      </c>
      <c r="G24" s="10" t="inlineStr">
        <is>
          <t>Unknown - check listing</t>
        </is>
      </c>
      <c r="H24" s="11" t="inlineStr">
        <is>
          <t>Same employer as Naukrigulf Partnerships AM row below</t>
        </is>
      </c>
      <c r="I24" s="11" t="inlineStr">
        <is>
          <t>https://www.linkedin.com/jobs/view/4302968251/</t>
        </is>
      </c>
      <c r="J24" s="10" t="inlineStr"/>
      <c r="K24" s="10" t="inlineStr"/>
      <c r="L24" s="26" t="inlineStr">
        <is>
          <t>AM — Mohamed_Amer_CV_ATS_AM.pdf</t>
        </is>
      </c>
      <c r="M24" s="26" t="inlineStr">
        <is>
          <t>Ready — job-search/Tailored_Applications_Tier1.md #17</t>
        </is>
      </c>
    </row>
    <row r="25">
      <c r="A25" s="9" t="n">
        <v>1</v>
      </c>
      <c r="B25" s="10" t="inlineStr">
        <is>
          <t>Not started</t>
        </is>
      </c>
      <c r="C25" s="10" t="inlineStr">
        <is>
          <t>LinkedIn</t>
        </is>
      </c>
      <c r="D25" s="11" t="inlineStr">
        <is>
          <t>Senior Account Manager - UAE</t>
        </is>
      </c>
      <c r="E25" s="11" t="inlineStr">
        <is>
          <t>FIXR</t>
        </is>
      </c>
      <c r="F25" s="10" t="inlineStr">
        <is>
          <t>UAE</t>
        </is>
      </c>
      <c r="G25" s="10" t="inlineStr">
        <is>
          <t>Unknown - check listing</t>
        </is>
      </c>
      <c r="H25" s="11" t="inlineStr">
        <is>
          <t>Ticketing/events SaaS</t>
        </is>
      </c>
      <c r="I25" s="11" t="inlineStr">
        <is>
          <t>https://ae.linkedin.com/jobs/view/senior-account-manager-uae-at-fixr-3783720973</t>
        </is>
      </c>
      <c r="J25" s="10" t="inlineStr"/>
      <c r="K25" s="10" t="inlineStr"/>
      <c r="L25" s="26" t="inlineStr">
        <is>
          <t>AM — Mohamed_Amer_CV_ATS_AM.pdf</t>
        </is>
      </c>
      <c r="M25" s="26" t="inlineStr">
        <is>
          <t>Ready — job-search/Tailored_Applications_Tier1.md #18</t>
        </is>
      </c>
    </row>
    <row r="26">
      <c r="A26" s="9" t="n">
        <v>1</v>
      </c>
      <c r="B26" s="10" t="inlineStr">
        <is>
          <t>Not started</t>
        </is>
      </c>
      <c r="C26" s="10" t="inlineStr">
        <is>
          <t>LinkedIn</t>
        </is>
      </c>
      <c r="D26" s="11" t="inlineStr">
        <is>
          <t>Senior Account Manager (Arabic Speaking)</t>
        </is>
      </c>
      <c r="E26" s="11" t="inlineStr">
        <is>
          <t>Workplace Options</t>
        </is>
      </c>
      <c r="F26" s="10" t="inlineStr">
        <is>
          <t>Dubai, UAE</t>
        </is>
      </c>
      <c r="G26" s="10" t="inlineStr">
        <is>
          <t>Unknown - check listing</t>
        </is>
      </c>
      <c r="H26" s="11" t="inlineStr">
        <is>
          <t>Arabic-speaking requirement = strong match</t>
        </is>
      </c>
      <c r="I26" s="11" t="inlineStr">
        <is>
          <t>https://ae.linkedin.com/jobs/view/senior-account-manager-at-workplace-options-3216506649</t>
        </is>
      </c>
      <c r="J26" s="10" t="inlineStr"/>
      <c r="K26" s="10" t="inlineStr"/>
      <c r="L26" s="26" t="inlineStr">
        <is>
          <t>AM — Mohamed_Amer_CV_ATS_AM.pdf</t>
        </is>
      </c>
      <c r="M26" s="26" t="inlineStr">
        <is>
          <t>Ready — job-search/Tailored_Applications_Tier1.md #19</t>
        </is>
      </c>
    </row>
    <row r="27">
      <c r="A27" s="15" t="n">
        <v>3</v>
      </c>
      <c r="B27" s="16" t="inlineStr">
        <is>
          <t>Not started</t>
        </is>
      </c>
      <c r="C27" s="16" t="inlineStr">
        <is>
          <t>LinkedIn</t>
        </is>
      </c>
      <c r="D27" s="17" t="inlineStr">
        <is>
          <t>Strategic Account Manager - Global Remote</t>
        </is>
      </c>
      <c r="E27" s="17" t="inlineStr">
        <is>
          <t>TalentMate (agency)</t>
        </is>
      </c>
      <c r="F27" s="16" t="inlineStr">
        <is>
          <t>UAE, remote</t>
        </is>
      </c>
      <c r="G27" s="16" t="inlineStr">
        <is>
          <t>Unknown - check listing</t>
        </is>
      </c>
      <c r="H27" s="17" t="inlineStr">
        <is>
          <t>Agency posting, vague scope</t>
        </is>
      </c>
      <c r="I27" s="17" t="inlineStr">
        <is>
          <t>https://ae.linkedin.com/jobs/view/strategic-account-manager-global-remote-at-talentmate-4441418477</t>
        </is>
      </c>
      <c r="J27" s="16" t="inlineStr"/>
      <c r="K27" s="16" t="inlineStr"/>
      <c r="L27" s="26" t="inlineStr"/>
      <c r="M27" s="26" t="inlineStr"/>
    </row>
    <row r="28">
      <c r="A28" s="12" t="n">
        <v>2</v>
      </c>
      <c r="B28" s="13" t="inlineStr">
        <is>
          <t>Not started</t>
        </is>
      </c>
      <c r="C28" s="13" t="inlineStr">
        <is>
          <t>LinkedIn</t>
        </is>
      </c>
      <c r="D28" s="14" t="inlineStr">
        <is>
          <t>Key Account Manager, UAE</t>
        </is>
      </c>
      <c r="E28" s="14" t="inlineStr">
        <is>
          <t>Galderma</t>
        </is>
      </c>
      <c r="F28" s="13" t="inlineStr">
        <is>
          <t>Dubai, UAE</t>
        </is>
      </c>
      <c r="G28" s="13" t="inlineStr">
        <is>
          <t>Unknown - check listing</t>
        </is>
      </c>
      <c r="H28" s="14" t="inlineStr">
        <is>
          <t>FLAG: posted ~9 months ago, verify still open</t>
        </is>
      </c>
      <c r="I28" s="14" t="inlineStr">
        <is>
          <t>https://ae.linkedin.com/jobs/view/key-account-manager-uae-relfydess-at-galderma-4335442186</t>
        </is>
      </c>
      <c r="J28" s="13" t="inlineStr"/>
      <c r="K28" s="13" t="inlineStr"/>
      <c r="L28" s="26" t="inlineStr"/>
      <c r="M28" s="26" t="inlineStr"/>
    </row>
    <row r="29">
      <c r="A29" s="9" t="n">
        <v>1</v>
      </c>
      <c r="B29" s="10" t="inlineStr">
        <is>
          <t>Not started</t>
        </is>
      </c>
      <c r="C29" s="10" t="inlineStr">
        <is>
          <t>LinkedIn</t>
        </is>
      </c>
      <c r="D29" s="11" t="inlineStr">
        <is>
          <t>Senior Account Manager - Enterprise</t>
        </is>
      </c>
      <c r="E29" s="11" t="inlineStr">
        <is>
          <t>PayTabs Global</t>
        </is>
      </c>
      <c r="F29" s="10" t="inlineStr">
        <is>
          <t>Riyadh, KSA</t>
        </is>
      </c>
      <c r="G29" s="10" t="inlineStr">
        <is>
          <t>Unknown - check listing</t>
        </is>
      </c>
      <c r="H29" s="11" t="inlineStr">
        <is>
          <t>Fintech/payments SaaS</t>
        </is>
      </c>
      <c r="I29" s="11" t="inlineStr">
        <is>
          <t>https://www.linkedin.com/jobs/view/4347449194/</t>
        </is>
      </c>
      <c r="J29" s="10" t="inlineStr"/>
      <c r="K29" s="10" t="inlineStr"/>
      <c r="L29" s="26" t="inlineStr">
        <is>
          <t>AM — Mohamed_Amer_CV_ATS_AM.pdf</t>
        </is>
      </c>
      <c r="M29" s="26" t="inlineStr">
        <is>
          <t>Ready — job-search/Tailored_Applications_Tier1.md #20</t>
        </is>
      </c>
    </row>
    <row r="30">
      <c r="A30" s="12" t="n">
        <v>2</v>
      </c>
      <c r="B30" s="13" t="inlineStr">
        <is>
          <t>Not started</t>
        </is>
      </c>
      <c r="C30" s="13" t="inlineStr">
        <is>
          <t>LinkedIn</t>
        </is>
      </c>
      <c r="D30" s="14" t="inlineStr">
        <is>
          <t>Key Account Manager (KSA)</t>
        </is>
      </c>
      <c r="E30" s="14" t="inlineStr">
        <is>
          <t>Knauf GCC</t>
        </is>
      </c>
      <c r="F30" s="13" t="inlineStr">
        <is>
          <t>Dubai-based, covers KSA</t>
        </is>
      </c>
      <c r="G30" s="13" t="inlineStr">
        <is>
          <t>Unknown - check listing</t>
        </is>
      </c>
      <c r="H30" s="14" t="inlineStr">
        <is>
          <t>FLAG: posted ~4 months ago, verify still open</t>
        </is>
      </c>
      <c r="I30" s="14" t="inlineStr">
        <is>
          <t>https://www.linkedin.com/jobs/view/4399670847/</t>
        </is>
      </c>
      <c r="J30" s="13" t="inlineStr"/>
      <c r="K30" s="13" t="inlineStr"/>
      <c r="L30" s="26" t="inlineStr"/>
      <c r="M30" s="26" t="inlineStr"/>
    </row>
    <row r="31">
      <c r="A31" s="12" t="n">
        <v>2</v>
      </c>
      <c r="B31" s="13" t="inlineStr">
        <is>
          <t>Not started</t>
        </is>
      </c>
      <c r="C31" s="13" t="inlineStr">
        <is>
          <t>LinkedIn</t>
        </is>
      </c>
      <c r="D31" s="14" t="inlineStr">
        <is>
          <t>Client Relationship Manager</t>
        </is>
      </c>
      <c r="E31" s="14" t="inlineStr">
        <is>
          <t>XM</t>
        </is>
      </c>
      <c r="F31" s="13" t="inlineStr">
        <is>
          <t>Dubai, UAE</t>
        </is>
      </c>
      <c r="G31" s="13" t="inlineStr">
        <is>
          <t>Unknown - check listing</t>
        </is>
      </c>
      <c r="H31" s="14" t="inlineStr">
        <is>
          <t>Forex/fintech trading platform</t>
        </is>
      </c>
      <c r="I31" s="14" t="inlineStr">
        <is>
          <t>https://ae.linkedin.com/jobs/view/client-relationship-manager-at-xm-4161983329</t>
        </is>
      </c>
      <c r="J31" s="13" t="inlineStr"/>
      <c r="K31" s="13" t="inlineStr"/>
      <c r="L31" s="26" t="inlineStr"/>
      <c r="M31" s="26" t="inlineStr"/>
    </row>
    <row r="32">
      <c r="A32" s="12" t="n">
        <v>2</v>
      </c>
      <c r="B32" s="13" t="inlineStr">
        <is>
          <t>Not started</t>
        </is>
      </c>
      <c r="C32" s="13" t="inlineStr">
        <is>
          <t>LinkedIn</t>
        </is>
      </c>
      <c r="D32" s="14" t="inlineStr">
        <is>
          <t>Client Relationship Manager</t>
        </is>
      </c>
      <c r="E32" s="14" t="inlineStr">
        <is>
          <t>Nebula Investments</t>
        </is>
      </c>
      <c r="F32" s="13" t="inlineStr">
        <is>
          <t>Dubai, UAE</t>
        </is>
      </c>
      <c r="G32" s="13" t="inlineStr">
        <is>
          <t>Unknown - check listing</t>
        </is>
      </c>
      <c r="H32" s="14" t="inlineStr"/>
      <c r="I32" s="14" t="inlineStr">
        <is>
          <t>https://ae.linkedin.com/jobs/view/client-relationship-manager-at-nebula-investments-3501416811</t>
        </is>
      </c>
      <c r="J32" s="13" t="inlineStr"/>
      <c r="K32" s="13" t="inlineStr"/>
      <c r="L32" s="26" t="inlineStr"/>
      <c r="M32" s="26" t="inlineStr"/>
    </row>
    <row r="33">
      <c r="A33" s="15" t="n">
        <v>3</v>
      </c>
      <c r="B33" s="16" t="inlineStr">
        <is>
          <t>Not started</t>
        </is>
      </c>
      <c r="C33" s="16" t="inlineStr">
        <is>
          <t>LinkedIn</t>
        </is>
      </c>
      <c r="D33" s="17" t="inlineStr">
        <is>
          <t>Client Relationship Manager</t>
        </is>
      </c>
      <c r="E33" s="17" t="inlineStr">
        <is>
          <t>Digital Bee Studio UAE</t>
        </is>
      </c>
      <c r="F33" s="16" t="inlineStr">
        <is>
          <t>UAE</t>
        </is>
      </c>
      <c r="G33" s="16" t="inlineStr">
        <is>
          <t>Unknown - check listing</t>
        </is>
      </c>
      <c r="H33" s="17" t="inlineStr">
        <is>
          <t>Small/unclear company, verify</t>
        </is>
      </c>
      <c r="I33" s="17" t="inlineStr">
        <is>
          <t>https://www.linkedin.com/jobs/view/3966538915/</t>
        </is>
      </c>
      <c r="J33" s="16" t="inlineStr"/>
      <c r="K33" s="16" t="inlineStr"/>
      <c r="L33" s="26" t="inlineStr"/>
      <c r="M33" s="26" t="inlineStr"/>
    </row>
    <row r="34">
      <c r="A34" s="9" t="n">
        <v>1</v>
      </c>
      <c r="B34" s="10" t="inlineStr">
        <is>
          <t>Not started</t>
        </is>
      </c>
      <c r="C34" s="10" t="inlineStr">
        <is>
          <t>LinkedIn (bonus find)</t>
        </is>
      </c>
      <c r="D34" s="11" t="inlineStr">
        <is>
          <t>Senior Customer Success Manager</t>
        </is>
      </c>
      <c r="E34" s="11" t="inlineStr">
        <is>
          <t>UiPath</t>
        </is>
      </c>
      <c r="F34" s="10" t="inlineStr">
        <is>
          <t>Dubai Internet City, UAE</t>
        </is>
      </c>
      <c r="G34" s="10" t="inlineStr">
        <is>
          <t>External (own ATS)</t>
        </is>
      </c>
      <c r="H34" s="11" t="inlineStr">
        <is>
          <t>RPA/automation SaaS - strong brand</t>
        </is>
      </c>
      <c r="I34" s="11" t="inlineStr">
        <is>
          <t>https://careers.uipath.com/careers/jobs/11349</t>
        </is>
      </c>
      <c r="J34" s="10" t="inlineStr"/>
      <c r="K34" s="10" t="inlineStr"/>
      <c r="L34" s="26" t="inlineStr">
        <is>
          <t>CSM — Mohamed_Amer_CV_ATS_CSM.pdf</t>
        </is>
      </c>
      <c r="M34" s="26" t="inlineStr">
        <is>
          <t>Ready — job-search/Tailored_Applications_Tier1.md #21</t>
        </is>
      </c>
    </row>
    <row r="35">
      <c r="A35" s="9" t="n">
        <v>1</v>
      </c>
      <c r="B35" s="10" t="inlineStr">
        <is>
          <t>Not started</t>
        </is>
      </c>
      <c r="C35" s="10" t="inlineStr">
        <is>
          <t>LinkedIn (bonus find)</t>
        </is>
      </c>
      <c r="D35" s="11" t="inlineStr">
        <is>
          <t>Customer Success Manager</t>
        </is>
      </c>
      <c r="E35" s="11" t="inlineStr">
        <is>
          <t>SAP</t>
        </is>
      </c>
      <c r="F35" s="10" t="inlineStr">
        <is>
          <t>UAE or KSA based</t>
        </is>
      </c>
      <c r="G35" s="10" t="inlineStr">
        <is>
          <t>External (jobs.sap.com)</t>
        </is>
      </c>
      <c r="H35" s="11" t="inlineStr">
        <is>
          <t>Possible overlap with Naukrigulf SAP Procurement CSM row - verify not same req</t>
        </is>
      </c>
      <c r="I35" s="11" t="inlineStr">
        <is>
          <t>https://jobs.sap.com (search Customer Success Manager UAE/KSA)</t>
        </is>
      </c>
      <c r="J35" s="10" t="inlineStr"/>
      <c r="K35" s="10" t="inlineStr"/>
      <c r="L35" s="26" t="inlineStr">
        <is>
          <t>CSM — Mohamed_Amer_CV_ATS_CSM.pdf</t>
        </is>
      </c>
      <c r="M35" s="26" t="inlineStr">
        <is>
          <t>Ready — job-search/Tailored_Applications_Tier1.md #22</t>
        </is>
      </c>
    </row>
    <row r="36">
      <c r="A36" s="9" t="n">
        <v>1</v>
      </c>
      <c r="B36" s="10" t="inlineStr">
        <is>
          <t>Not started</t>
        </is>
      </c>
      <c r="C36" s="10" t="inlineStr">
        <is>
          <t>LinkedIn (bonus find)</t>
        </is>
      </c>
      <c r="D36" s="11" t="inlineStr">
        <is>
          <t>Customer Success Manager (Arabic Speaker)</t>
        </is>
      </c>
      <c r="E36" s="11" t="inlineStr">
        <is>
          <t>monday.com</t>
        </is>
      </c>
      <c r="F36" s="10" t="inlineStr">
        <is>
          <t>Remote/hybrid - UAE/Saudi/Qatar</t>
        </is>
      </c>
      <c r="G36" s="10" t="inlineStr">
        <is>
          <t>External (Comeet ATS)</t>
        </is>
      </c>
      <c r="H36" s="11" t="inlineStr">
        <is>
          <t>Arabic-speaking requirement, major SaaS brand - excellent fit</t>
        </is>
      </c>
      <c r="I36" s="11" t="inlineStr">
        <is>
          <t>Found via Comeet ATS / BuiltIn - search monday.com careers</t>
        </is>
      </c>
      <c r="J36" s="10" t="inlineStr"/>
      <c r="K36" s="10" t="inlineStr"/>
      <c r="L36" s="26" t="inlineStr">
        <is>
          <t>CSM — Mohamed_Amer_CV_ATS_CSM.pdf</t>
        </is>
      </c>
      <c r="M36" s="26" t="inlineStr">
        <is>
          <t>Ready — job-search/Tailored_Applications_Tier1.md #23</t>
        </is>
      </c>
    </row>
    <row r="37">
      <c r="A37" s="12" t="n">
        <v>2</v>
      </c>
      <c r="B37" s="13" t="inlineStr">
        <is>
          <t>Not started</t>
        </is>
      </c>
      <c r="C37" s="13" t="inlineStr">
        <is>
          <t>LinkedIn (bonus find)</t>
        </is>
      </c>
      <c r="D37" s="14" t="inlineStr">
        <is>
          <t>Technical Account Manager, OpenShift/RHEL</t>
        </is>
      </c>
      <c r="E37" s="14" t="inlineStr">
        <is>
          <t>Red Hat</t>
        </is>
      </c>
      <c r="F37" s="13" t="inlineStr">
        <is>
          <t>Dubai, UAE</t>
        </is>
      </c>
      <c r="G37" s="13" t="inlineStr">
        <is>
          <t>External (Workday)</t>
        </is>
      </c>
      <c r="H37" s="14" t="inlineStr">
        <is>
          <t>More technical/engineering-leaning - stretch role</t>
        </is>
      </c>
      <c r="I37" s="14" t="inlineStr">
        <is>
          <t>https://redhat.wd5.myworkdayjobs.com (search Dubai TAM)</t>
        </is>
      </c>
      <c r="J37" s="13" t="inlineStr"/>
      <c r="K37" s="13" t="inlineStr"/>
      <c r="L37" s="26" t="inlineStr"/>
      <c r="M37" s="26" t="inlineStr"/>
    </row>
    <row r="38">
      <c r="A38" s="15" t="n">
        <v>3</v>
      </c>
      <c r="B38" s="16" t="inlineStr">
        <is>
          <t>Not started</t>
        </is>
      </c>
      <c r="C38" s="16" t="inlineStr">
        <is>
          <t>LinkedIn (bonus find)</t>
        </is>
      </c>
      <c r="D38" s="17" t="inlineStr">
        <is>
          <t>Senior Partner Account Manager, Middle East</t>
        </is>
      </c>
      <c r="E38" s="17" t="inlineStr">
        <is>
          <t>DataRobot</t>
        </is>
      </c>
      <c r="F38" s="16" t="inlineStr">
        <is>
          <t>Remote-Dubai</t>
        </is>
      </c>
      <c r="G38" s="16" t="inlineStr">
        <is>
          <t>External (Workday)</t>
        </is>
      </c>
      <c r="H38" s="17" t="inlineStr">
        <is>
          <t>FLAG: posted 6+ months ago, likely stale/closed</t>
        </is>
      </c>
      <c r="I38" s="17" t="inlineStr">
        <is>
          <t>https://datarobot.wd myworkdayjobs.com (search Middle East)</t>
        </is>
      </c>
      <c r="J38" s="16" t="inlineStr"/>
      <c r="K38" s="16" t="inlineStr"/>
      <c r="L38" s="26" t="inlineStr"/>
      <c r="M38" s="26" t="inlineStr"/>
    </row>
    <row r="39">
      <c r="A39" s="12" t="n">
        <v>2</v>
      </c>
      <c r="B39" s="13" t="inlineStr">
        <is>
          <t>Not started</t>
        </is>
      </c>
      <c r="C39" s="13" t="inlineStr">
        <is>
          <t>LinkedIn (bonus find)</t>
        </is>
      </c>
      <c r="D39" s="14" t="inlineStr">
        <is>
          <t>Key Account Manager, Dubai (Dupixent/Respiratory)</t>
        </is>
      </c>
      <c r="E39" s="14" t="inlineStr">
        <is>
          <t>Sanofi</t>
        </is>
      </c>
      <c r="F39" s="13" t="inlineStr">
        <is>
          <t>Dubai, UAE</t>
        </is>
      </c>
      <c r="G39" s="13" t="inlineStr">
        <is>
          <t>External (Workday)</t>
        </is>
      </c>
      <c r="H39" s="14" t="inlineStr">
        <is>
          <t>Pharma sales - transferable but weaker SaaS fit</t>
        </is>
      </c>
      <c r="I39" s="14" t="inlineStr">
        <is>
          <t>Search Sanofi Workday careers Dubai KAM</t>
        </is>
      </c>
      <c r="J39" s="13" t="inlineStr"/>
      <c r="K39" s="13" t="inlineStr"/>
      <c r="L39" s="26" t="inlineStr"/>
      <c r="M39" s="26" t="inlineStr"/>
    </row>
    <row r="40">
      <c r="A40" s="9" t="n">
        <v>1</v>
      </c>
      <c r="B40" s="10" t="inlineStr">
        <is>
          <t>Not started</t>
        </is>
      </c>
      <c r="C40" s="10" t="inlineStr">
        <is>
          <t>Indeed + Naukrigulf</t>
        </is>
      </c>
      <c r="D40" s="11" t="inlineStr">
        <is>
          <t>Customer Success Manager - Mid Market</t>
        </is>
      </c>
      <c r="E40" s="11" t="inlineStr">
        <is>
          <t>Alaan</t>
        </is>
      </c>
      <c r="F40" s="10" t="inlineStr">
        <is>
          <t>Dubai, UAE</t>
        </is>
      </c>
      <c r="G40" s="10" t="inlineStr">
        <is>
          <t>Unknown - check listing</t>
        </is>
      </c>
      <c r="H40" s="11" t="inlineStr">
        <is>
          <t>Fintech/spend-mgmt SaaS. Found on both platforms - one application</t>
        </is>
      </c>
      <c r="I40" s="11" t="inlineStr">
        <is>
          <t>https://ae.indeed.com/viewjob?jk=96d5a7fa97c47951 | https://www.naukrigulf.com/customer-success-manager-mid-market-jobs-in-dubai-uae-in-alaan-4-to-9-years-n-cd-40003340-jid-030726500965</t>
        </is>
      </c>
      <c r="J40" s="10" t="inlineStr"/>
      <c r="K40" s="10" t="inlineStr"/>
      <c r="L40" s="26" t="inlineStr">
        <is>
          <t>CSM — Mohamed_Amer_CV_ATS_CSM.pdf</t>
        </is>
      </c>
      <c r="M40" s="26" t="inlineStr">
        <is>
          <t>Ready — job-search/Tailored_Applications_Tier1.md #24</t>
        </is>
      </c>
    </row>
    <row r="41">
      <c r="A41" s="12" t="n">
        <v>2</v>
      </c>
      <c r="B41" s="13" t="inlineStr">
        <is>
          <t>Not started</t>
        </is>
      </c>
      <c r="C41" s="13" t="inlineStr">
        <is>
          <t>Indeed</t>
        </is>
      </c>
      <c r="D41" s="14" t="inlineStr">
        <is>
          <t>Customer Success Account Manager (CSAM)</t>
        </is>
      </c>
      <c r="E41" s="14" t="inlineStr">
        <is>
          <t>Unconfirmed employer (Microsoft-style role)</t>
        </is>
      </c>
      <c r="F41" s="13" t="inlineStr">
        <is>
          <t>Dubai, UAE</t>
        </is>
      </c>
      <c r="G41" s="13" t="inlineStr">
        <is>
          <t>Unknown - check listing</t>
        </is>
      </c>
      <c r="H41" s="14" t="inlineStr">
        <is>
          <t>Employer not verified from snippet - confirm on open</t>
        </is>
      </c>
      <c r="I41" s="14" t="inlineStr">
        <is>
          <t>https://ae.indeed.com/viewjob?jk=2a857599ff699bf7</t>
        </is>
      </c>
      <c r="J41" s="13" t="inlineStr"/>
      <c r="K41" s="13" t="inlineStr"/>
      <c r="L41" s="26" t="inlineStr"/>
      <c r="M41" s="26" t="inlineStr"/>
    </row>
    <row r="42">
      <c r="A42" s="15" t="n">
        <v>3</v>
      </c>
      <c r="B42" s="16" t="inlineStr">
        <is>
          <t>Not started</t>
        </is>
      </c>
      <c r="C42" s="16" t="inlineStr">
        <is>
          <t>Indeed</t>
        </is>
      </c>
      <c r="D42" s="17" t="inlineStr">
        <is>
          <t>Customer Success Executive</t>
        </is>
      </c>
      <c r="E42" s="17" t="inlineStr">
        <is>
          <t>Mobishastra Technologies</t>
        </is>
      </c>
      <c r="F42" s="16" t="inlineStr">
        <is>
          <t>Dubai, UAE</t>
        </is>
      </c>
      <c r="G42" s="16" t="inlineStr">
        <is>
          <t>Unknown - check listing</t>
        </is>
      </c>
      <c r="H42" s="17" t="inlineStr">
        <is>
          <t>Junior 'Executive' level, likely below target seniority</t>
        </is>
      </c>
      <c r="I42" s="17" t="inlineStr">
        <is>
          <t>https://ae.indeed.com/viewjob?jk=08b9feaf581c4939</t>
        </is>
      </c>
      <c r="J42" s="16" t="inlineStr"/>
      <c r="K42" s="16" t="inlineStr"/>
      <c r="L42" s="26" t="inlineStr"/>
      <c r="M42" s="26" t="inlineStr"/>
    </row>
    <row r="43">
      <c r="A43" s="9" t="n">
        <v>1</v>
      </c>
      <c r="B43" s="10" t="inlineStr">
        <is>
          <t>Not started</t>
        </is>
      </c>
      <c r="C43" s="10" t="inlineStr">
        <is>
          <t>Indeed</t>
        </is>
      </c>
      <c r="D43" s="11" t="inlineStr">
        <is>
          <t>Customer Success Lead (enterprise clients)</t>
        </is>
      </c>
      <c r="E43" s="11" t="inlineStr">
        <is>
          <t>Swvl</t>
        </is>
      </c>
      <c r="F43" s="10" t="inlineStr">
        <is>
          <t>Dubai, UAE</t>
        </is>
      </c>
      <c r="G43" s="10" t="inlineStr">
        <is>
          <t>Unknown - check listing</t>
        </is>
      </c>
      <c r="H43" s="11" t="inlineStr">
        <is>
          <t>Mobility SaaS. No direct job-ID URL captured, search company page</t>
        </is>
      </c>
      <c r="I43" s="11" t="inlineStr">
        <is>
          <t>https://ae.indeed.com/cmp/Swvl</t>
        </is>
      </c>
      <c r="J43" s="10" t="inlineStr"/>
      <c r="K43" s="10" t="inlineStr"/>
      <c r="L43" s="26" t="inlineStr">
        <is>
          <t>CSM — Mohamed_Amer_CV_ATS_CSM.pdf</t>
        </is>
      </c>
      <c r="M43" s="26" t="inlineStr">
        <is>
          <t>Ready — job-search/Tailored_Applications_Tier1.md #25</t>
        </is>
      </c>
    </row>
    <row r="44">
      <c r="A44" s="9" t="n">
        <v>1</v>
      </c>
      <c r="B44" s="10" t="inlineStr">
        <is>
          <t>Not started</t>
        </is>
      </c>
      <c r="C44" s="10" t="inlineStr">
        <is>
          <t>Indeed</t>
        </is>
      </c>
      <c r="D44" s="11" t="inlineStr">
        <is>
          <t>Senior Cloud Customer Success Manager - SaaS</t>
        </is>
      </c>
      <c r="E44" s="11" t="inlineStr">
        <is>
          <t>Oracle</t>
        </is>
      </c>
      <c r="F44" s="10" t="inlineStr">
        <is>
          <t>Bahrain or Kuwait</t>
        </is>
      </c>
      <c r="G44" s="10" t="inlineStr">
        <is>
          <t>Unknown - check listing</t>
        </is>
      </c>
      <c r="H44" s="11" t="inlineStr">
        <is>
          <t>No direct job-ID URL captured, search Oracle + location</t>
        </is>
      </c>
      <c r="I44" s="11" t="inlineStr">
        <is>
          <t>https://www.indeed.com/q-Oracle-Customer-Success-Manager-jobs.html</t>
        </is>
      </c>
      <c r="J44" s="10" t="inlineStr"/>
      <c r="K44" s="10" t="inlineStr"/>
      <c r="L44" s="26" t="inlineStr">
        <is>
          <t>CSM — Mohamed_Amer_CV_ATS_CSM.pdf</t>
        </is>
      </c>
      <c r="M44" s="26" t="inlineStr">
        <is>
          <t>Ready — job-search/Tailored_Applications_Tier1.md #26</t>
        </is>
      </c>
    </row>
    <row r="45">
      <c r="A45" s="12" t="n">
        <v>2</v>
      </c>
      <c r="B45" s="13" t="inlineStr">
        <is>
          <t>Not started</t>
        </is>
      </c>
      <c r="C45" s="13" t="inlineStr">
        <is>
          <t>Indeed</t>
        </is>
      </c>
      <c r="D45" s="14" t="inlineStr">
        <is>
          <t>Senior Client Success Manager</t>
        </is>
      </c>
      <c r="E45" s="14" t="inlineStr">
        <is>
          <t>TuniSip</t>
        </is>
      </c>
      <c r="F45" s="13" t="inlineStr">
        <is>
          <t>Doha, Qatar</t>
        </is>
      </c>
      <c r="G45" s="13" t="inlineStr">
        <is>
          <t>Unknown - check listing</t>
        </is>
      </c>
      <c r="H45" s="14" t="inlineStr">
        <is>
          <t>Salary disclosed QAR 18-28k. No direct URL, verify via qa.indeed.com</t>
        </is>
      </c>
      <c r="I45" s="14" t="inlineStr">
        <is>
          <t>Search company name on qa.indeed.com</t>
        </is>
      </c>
      <c r="J45" s="13" t="inlineStr"/>
      <c r="K45" s="13" t="inlineStr"/>
      <c r="L45" s="26" t="inlineStr"/>
      <c r="M45" s="26" t="inlineStr"/>
    </row>
    <row r="46">
      <c r="A46" s="9" t="n">
        <v>1</v>
      </c>
      <c r="B46" s="10" t="inlineStr">
        <is>
          <t>Not started</t>
        </is>
      </c>
      <c r="C46" s="10" t="inlineStr">
        <is>
          <t>Indeed</t>
        </is>
      </c>
      <c r="D46" s="11" t="inlineStr">
        <is>
          <t>Specialist, Account Management (Enterprise merchants)</t>
        </is>
      </c>
      <c r="E46" s="11" t="inlineStr">
        <is>
          <t>Checkout.com</t>
        </is>
      </c>
      <c r="F46" s="10" t="inlineStr">
        <is>
          <t>Dubai, UAE</t>
        </is>
      </c>
      <c r="G46" s="10" t="inlineStr">
        <is>
          <t>Unknown - check listing</t>
        </is>
      </c>
      <c r="H46" s="11" t="inlineStr">
        <is>
          <t>Fintech/payments SaaS</t>
        </is>
      </c>
      <c r="I46" s="11" t="inlineStr">
        <is>
          <t>https://ae.indeed.com/viewjob?jk=649336d92cfb78b0</t>
        </is>
      </c>
      <c r="J46" s="10" t="inlineStr"/>
      <c r="K46" s="10" t="inlineStr"/>
      <c r="L46" s="26" t="inlineStr">
        <is>
          <t>AM — Mohamed_Amer_CV_ATS_AM.pdf</t>
        </is>
      </c>
      <c r="M46" s="26" t="inlineStr">
        <is>
          <t>Ready — job-search/Tailored_Applications_Tier1.md #27</t>
        </is>
      </c>
    </row>
    <row r="47">
      <c r="A47" s="9" t="n">
        <v>1</v>
      </c>
      <c r="B47" s="10" t="inlineStr">
        <is>
          <t>Not started</t>
        </is>
      </c>
      <c r="C47" s="10" t="inlineStr">
        <is>
          <t>Indeed</t>
        </is>
      </c>
      <c r="D47" s="11" t="inlineStr">
        <is>
          <t>Enterprise Account Executive</t>
        </is>
      </c>
      <c r="E47" s="11" t="inlineStr">
        <is>
          <t>TeamViewer</t>
        </is>
      </c>
      <c r="F47" s="10" t="inlineStr">
        <is>
          <t>Dubai, UAE</t>
        </is>
      </c>
      <c r="G47" s="10" t="inlineStr">
        <is>
          <t>Unknown - check listing</t>
        </is>
      </c>
      <c r="H47" s="11" t="inlineStr">
        <is>
          <t>Major SaaS brand</t>
        </is>
      </c>
      <c r="I47" s="11" t="inlineStr">
        <is>
          <t>https://ae.indeed.com/viewjob?jk=d7946de85388f7d9</t>
        </is>
      </c>
      <c r="J47" s="10" t="inlineStr"/>
      <c r="K47" s="10" t="inlineStr"/>
      <c r="L47" s="26" t="inlineStr">
        <is>
          <t>AM — Mohamed_Amer_CV_ATS_AM.pdf</t>
        </is>
      </c>
      <c r="M47" s="26" t="inlineStr">
        <is>
          <t>Ready — job-search/Tailored_Applications_Tier1.md #28</t>
        </is>
      </c>
    </row>
    <row r="48">
      <c r="A48" s="15" t="n">
        <v>3</v>
      </c>
      <c r="B48" s="16" t="inlineStr">
        <is>
          <t>Not started</t>
        </is>
      </c>
      <c r="C48" s="16" t="inlineStr">
        <is>
          <t>Indeed</t>
        </is>
      </c>
      <c r="D48" s="17" t="inlineStr">
        <is>
          <t>Key Account Manager (2 similar postings)</t>
        </is>
      </c>
      <c r="E48" s="17" t="inlineStr">
        <is>
          <t>Time Express Parcels</t>
        </is>
      </c>
      <c r="F48" s="16" t="inlineStr">
        <is>
          <t>Dubai, UAE</t>
        </is>
      </c>
      <c r="G48" s="16" t="inlineStr">
        <is>
          <t>Unknown - check listing</t>
        </is>
      </c>
      <c r="H48" s="17" t="inlineStr">
        <is>
          <t>Logistics - weaker SaaS/tech fit; employer has 2 near-identical open reqs</t>
        </is>
      </c>
      <c r="I48" s="17" t="inlineStr">
        <is>
          <t>https://ae.indeed.com/viewjob?jk=ab661fb24dca4660 | https://ae.indeed.com/viewjob?jk=4bae9ad44da9fc1b</t>
        </is>
      </c>
      <c r="J48" s="16" t="inlineStr"/>
      <c r="K48" s="16" t="inlineStr"/>
      <c r="L48" s="26" t="inlineStr"/>
      <c r="M48" s="26" t="inlineStr"/>
    </row>
    <row r="49">
      <c r="A49" s="15" t="n">
        <v>3</v>
      </c>
      <c r="B49" s="16" t="inlineStr">
        <is>
          <t>Not started</t>
        </is>
      </c>
      <c r="C49" s="16" t="inlineStr">
        <is>
          <t>Indeed</t>
        </is>
      </c>
      <c r="D49" s="17" t="inlineStr">
        <is>
          <t>Key Account Manager / Sales Manager - CPU Retail</t>
        </is>
      </c>
      <c r="E49" s="17" t="inlineStr">
        <is>
          <t>Niche Marketing Management</t>
        </is>
      </c>
      <c r="F49" s="16" t="inlineStr">
        <is>
          <t>Dubai, UAE</t>
        </is>
      </c>
      <c r="G49" s="16" t="inlineStr">
        <is>
          <t>Unknown - check listing</t>
        </is>
      </c>
      <c r="H49" s="17" t="inlineStr">
        <is>
          <t>FLAG: mirror site shows possibly closed/lower seniority - verify</t>
        </is>
      </c>
      <c r="I49" s="17" t="inlineStr">
        <is>
          <t>https://ae.indeed.com/viewjob?jk=654d5d34ed60f9bd</t>
        </is>
      </c>
      <c r="J49" s="16" t="inlineStr"/>
      <c r="K49" s="16" t="inlineStr"/>
      <c r="L49" s="26" t="inlineStr"/>
      <c r="M49" s="26" t="inlineStr"/>
    </row>
    <row r="50">
      <c r="A50" s="12" t="n">
        <v>2</v>
      </c>
      <c r="B50" s="13" t="inlineStr">
        <is>
          <t>Not started</t>
        </is>
      </c>
      <c r="C50" s="13" t="inlineStr">
        <is>
          <t>Indeed</t>
        </is>
      </c>
      <c r="D50" s="14" t="inlineStr">
        <is>
          <t>Key Account Manager, UAE and Kuwait</t>
        </is>
      </c>
      <c r="E50" s="14" t="inlineStr">
        <is>
          <t>Abbott</t>
        </is>
      </c>
      <c r="F50" s="13" t="inlineStr">
        <is>
          <t>Dubai, UAE</t>
        </is>
      </c>
      <c r="G50" s="13" t="inlineStr">
        <is>
          <t>Unknown - check listing</t>
        </is>
      </c>
      <c r="H50" s="14" t="inlineStr">
        <is>
          <t>Healthcare/diagnostics. Same employer as Naukrigulf Abbott Riyadh row</t>
        </is>
      </c>
      <c r="I50" s="14" t="inlineStr">
        <is>
          <t>https://ae.indeed.com/viewjob?jk=95b8f7a6e49431e9</t>
        </is>
      </c>
      <c r="J50" s="13" t="inlineStr"/>
      <c r="K50" s="13" t="inlineStr"/>
      <c r="L50" s="26" t="inlineStr"/>
      <c r="M50" s="26" t="inlineStr"/>
    </row>
    <row r="51">
      <c r="A51" s="12" t="n">
        <v>2</v>
      </c>
      <c r="B51" s="13" t="inlineStr">
        <is>
          <t>Not started</t>
        </is>
      </c>
      <c r="C51" s="13" t="inlineStr">
        <is>
          <t>Indeed</t>
        </is>
      </c>
      <c r="D51" s="14" t="inlineStr">
        <is>
          <t>Senior Account Manager</t>
        </is>
      </c>
      <c r="E51" s="14" t="inlineStr">
        <is>
          <t>CNS Middle East (Ghobash Group)</t>
        </is>
      </c>
      <c r="F51" s="13" t="inlineStr">
        <is>
          <t>Dubai, UAE</t>
        </is>
      </c>
      <c r="G51" s="13" t="inlineStr">
        <is>
          <t>Unknown - check listing</t>
        </is>
      </c>
      <c r="H51" s="14" t="inlineStr">
        <is>
          <t>IT distribution. Same employer group as other CNS/Ghobash rows</t>
        </is>
      </c>
      <c r="I51" s="14" t="inlineStr">
        <is>
          <t>https://ae.indeed.com/viewjob?jk=df679d5e3ba2758f</t>
        </is>
      </c>
      <c r="J51" s="13" t="inlineStr"/>
      <c r="K51" s="13" t="inlineStr"/>
      <c r="L51" s="26" t="inlineStr"/>
      <c r="M51" s="26" t="inlineStr"/>
    </row>
    <row r="52">
      <c r="A52" s="12" t="n">
        <v>2</v>
      </c>
      <c r="B52" s="13" t="inlineStr">
        <is>
          <t>Not started</t>
        </is>
      </c>
      <c r="C52" s="13" t="inlineStr">
        <is>
          <t>Indeed</t>
        </is>
      </c>
      <c r="D52" s="14" t="inlineStr">
        <is>
          <t>Senior Account Manager</t>
        </is>
      </c>
      <c r="E52" s="14" t="inlineStr">
        <is>
          <t>CNS Middle East (Ghobash Group)</t>
        </is>
      </c>
      <c r="F52" s="13" t="inlineStr">
        <is>
          <t>Abu Dhabi, UAE</t>
        </is>
      </c>
      <c r="G52" s="13" t="inlineStr">
        <is>
          <t>Unknown - check listing</t>
        </is>
      </c>
      <c r="H52" s="14" t="inlineStr">
        <is>
          <t>Companion listing to Dubai CNS role above</t>
        </is>
      </c>
      <c r="I52" s="14" t="inlineStr">
        <is>
          <t>https://ae.indeed.com/viewjob?jk=7a672f6c9b7070e4</t>
        </is>
      </c>
      <c r="J52" s="13" t="inlineStr"/>
      <c r="K52" s="13" t="inlineStr"/>
      <c r="L52" s="26" t="inlineStr"/>
      <c r="M52" s="26" t="inlineStr"/>
    </row>
    <row r="53">
      <c r="A53" s="15" t="n">
        <v>3</v>
      </c>
      <c r="B53" s="16" t="inlineStr">
        <is>
          <t>Not started</t>
        </is>
      </c>
      <c r="C53" s="16" t="inlineStr">
        <is>
          <t>Indeed</t>
        </is>
      </c>
      <c r="D53" s="17" t="inlineStr">
        <is>
          <t>Account Manager</t>
        </is>
      </c>
      <c r="E53" s="17" t="inlineStr">
        <is>
          <t>Novelty Middle East</t>
        </is>
      </c>
      <c r="F53" s="16" t="inlineStr">
        <is>
          <t>Dubai, UAE</t>
        </is>
      </c>
      <c r="G53" s="16" t="inlineStr">
        <is>
          <t>Unknown - check listing</t>
        </is>
      </c>
      <c r="H53" s="17" t="inlineStr">
        <is>
          <t>Live events - weaker SaaS/tech fit</t>
        </is>
      </c>
      <c r="I53" s="17" t="inlineStr">
        <is>
          <t>https://ae.indeed.com/viewjob?jk=0a9ce068632c3833</t>
        </is>
      </c>
      <c r="J53" s="16" t="inlineStr"/>
      <c r="K53" s="16" t="inlineStr"/>
      <c r="L53" s="26" t="inlineStr"/>
      <c r="M53" s="26" t="inlineStr"/>
    </row>
    <row r="54">
      <c r="A54" s="9" t="n">
        <v>1</v>
      </c>
      <c r="B54" s="10" t="inlineStr">
        <is>
          <t>Not started</t>
        </is>
      </c>
      <c r="C54" s="10" t="inlineStr">
        <is>
          <t>Indeed</t>
        </is>
      </c>
      <c r="D54" s="11" t="inlineStr">
        <is>
          <t>Sales Account Executive (banks/fintechs)</t>
        </is>
      </c>
      <c r="E54" s="11" t="inlineStr">
        <is>
          <t>Tuum</t>
        </is>
      </c>
      <c r="F54" s="10" t="inlineStr">
        <is>
          <t>Dubai, UAE</t>
        </is>
      </c>
      <c r="G54" s="10" t="inlineStr">
        <is>
          <t>Unknown - check listing</t>
        </is>
      </c>
      <c r="H54" s="11" t="inlineStr">
        <is>
          <t>Core banking SaaS, 5-10yrs enterprise AM</t>
        </is>
      </c>
      <c r="I54" s="11" t="inlineStr">
        <is>
          <t>https://ae.indeed.com/viewjob?jk=15cecfd3f2e7ea39</t>
        </is>
      </c>
      <c r="J54" s="10" t="inlineStr"/>
      <c r="K54" s="10" t="inlineStr"/>
      <c r="L54" s="26" t="inlineStr">
        <is>
          <t>AM — Mohamed_Amer_CV_ATS_AM.pdf</t>
        </is>
      </c>
      <c r="M54" s="26" t="inlineStr">
        <is>
          <t>Ready — job-search/Tailored_Applications_Tier1.md #29</t>
        </is>
      </c>
    </row>
    <row r="55">
      <c r="A55" s="9" t="n">
        <v>1</v>
      </c>
      <c r="B55" s="10" t="inlineStr">
        <is>
          <t>Not started</t>
        </is>
      </c>
      <c r="C55" s="10" t="inlineStr">
        <is>
          <t>Indeed</t>
        </is>
      </c>
      <c r="D55" s="11" t="inlineStr">
        <is>
          <t>Strategic Account Manager / Senior Strategic AM</t>
        </is>
      </c>
      <c r="E55" s="11" t="inlineStr">
        <is>
          <t>Bayzat</t>
        </is>
      </c>
      <c r="F55" s="10" t="inlineStr">
        <is>
          <t>Dubai, UAE</t>
        </is>
      </c>
      <c r="G55" s="10" t="inlineStr">
        <is>
          <t>Unknown - check listing</t>
        </is>
      </c>
      <c r="H55" s="11" t="inlineStr">
        <is>
          <t>HR/payroll/insurance SaaS. No direct job-ID URL, check company page</t>
        </is>
      </c>
      <c r="I55" s="11" t="inlineStr">
        <is>
          <t>https://ae.indeed.com/cmp/Bayzat</t>
        </is>
      </c>
      <c r="J55" s="10" t="inlineStr"/>
      <c r="K55" s="10" t="inlineStr"/>
      <c r="L55" s="26" t="inlineStr">
        <is>
          <t>AM — Mohamed_Amer_CV_ATS_AM.pdf</t>
        </is>
      </c>
      <c r="M55" s="26" t="inlineStr">
        <is>
          <t>Ready — job-search/Tailored_Applications_Tier1.md #30</t>
        </is>
      </c>
    </row>
    <row r="56">
      <c r="A56" s="12" t="n">
        <v>2</v>
      </c>
      <c r="B56" s="13" t="inlineStr">
        <is>
          <t>Not started</t>
        </is>
      </c>
      <c r="C56" s="13" t="inlineStr">
        <is>
          <t>Indeed</t>
        </is>
      </c>
      <c r="D56" s="14" t="inlineStr">
        <is>
          <t>Strategic Accounts Manager, Hyperscale clients</t>
        </is>
      </c>
      <c r="E56" s="14" t="inlineStr">
        <is>
          <t>Tate</t>
        </is>
      </c>
      <c r="F56" s="13" t="inlineStr">
        <is>
          <t>UAE &amp; Oman region</t>
        </is>
      </c>
      <c r="G56" s="13" t="inlineStr">
        <is>
          <t>Unknown - check listing</t>
        </is>
      </c>
      <c r="H56" s="14" t="inlineStr">
        <is>
          <t>No direct job-ID URL captured, verify</t>
        </is>
      </c>
      <c r="I56" s="14" t="inlineStr">
        <is>
          <t>Search 'Tate Strategic Accounts Manager Hyperscale' on ae.indeed.com</t>
        </is>
      </c>
      <c r="J56" s="13" t="inlineStr"/>
      <c r="K56" s="13" t="inlineStr"/>
      <c r="L56" s="26" t="inlineStr"/>
      <c r="M56" s="26" t="inlineStr"/>
    </row>
    <row r="57">
      <c r="A57" s="9" t="n">
        <v>1</v>
      </c>
      <c r="B57" s="10" t="inlineStr">
        <is>
          <t>Not started</t>
        </is>
      </c>
      <c r="C57" s="10" t="inlineStr">
        <is>
          <t>Indeed</t>
        </is>
      </c>
      <c r="D57" s="11" t="inlineStr">
        <is>
          <t>Senior Key Account Manager</t>
        </is>
      </c>
      <c r="E57" s="11" t="inlineStr">
        <is>
          <t>Ansen Technology</t>
        </is>
      </c>
      <c r="F57" s="10" t="inlineStr">
        <is>
          <t>Riyadh, KSA</t>
        </is>
      </c>
      <c r="G57" s="10" t="inlineStr">
        <is>
          <t>Unknown - check listing</t>
        </is>
      </c>
      <c r="H57" s="11" t="inlineStr">
        <is>
          <t>Cybersecurity, 5+ yrs GCC</t>
        </is>
      </c>
      <c r="I57" s="11" t="inlineStr">
        <is>
          <t>https://sa.indeed.com/viewjob?jk=e50a2c92a9edce11</t>
        </is>
      </c>
      <c r="J57" s="10" t="inlineStr"/>
      <c r="K57" s="10" t="inlineStr"/>
      <c r="L57" s="26" t="inlineStr">
        <is>
          <t>AM — Mohamed_Amer_CV_ATS_AM.pdf</t>
        </is>
      </c>
      <c r="M57" s="26" t="inlineStr">
        <is>
          <t>Ready — job-search/Tailored_Applications_Tier1.md #31</t>
        </is>
      </c>
    </row>
    <row r="58">
      <c r="A58" s="9" t="n">
        <v>1</v>
      </c>
      <c r="B58" s="10" t="inlineStr">
        <is>
          <t>Not started</t>
        </is>
      </c>
      <c r="C58" s="10" t="inlineStr">
        <is>
          <t>Indeed</t>
        </is>
      </c>
      <c r="D58" s="11" t="inlineStr">
        <is>
          <t>Sr. Account Manager, Amazon Payment Services</t>
        </is>
      </c>
      <c r="E58" s="11" t="inlineStr">
        <is>
          <t>Amazon</t>
        </is>
      </c>
      <c r="F58" s="10" t="inlineStr">
        <is>
          <t>Riyadh, KSA</t>
        </is>
      </c>
      <c r="G58" s="10" t="inlineStr">
        <is>
          <t>Unknown - check listing</t>
        </is>
      </c>
      <c r="H58" s="11" t="inlineStr">
        <is>
          <t>Major global brand</t>
        </is>
      </c>
      <c r="I58" s="11" t="inlineStr">
        <is>
          <t>https://sa.indeed.com/viewjob?jk=eecf10c19170a7ef</t>
        </is>
      </c>
      <c r="J58" s="10" t="inlineStr"/>
      <c r="K58" s="10" t="inlineStr"/>
      <c r="L58" s="26" t="inlineStr">
        <is>
          <t>AM — Mohamed_Amer_CV_ATS_AM.pdf</t>
        </is>
      </c>
      <c r="M58" s="26" t="inlineStr">
        <is>
          <t>Ready — job-search/Tailored_Applications_Tier1.md #32</t>
        </is>
      </c>
    </row>
    <row r="59">
      <c r="A59" s="12" t="n">
        <v>2</v>
      </c>
      <c r="B59" s="13" t="inlineStr">
        <is>
          <t>Not started</t>
        </is>
      </c>
      <c r="C59" s="13" t="inlineStr">
        <is>
          <t>Indeed</t>
        </is>
      </c>
      <c r="D59" s="14" t="inlineStr">
        <is>
          <t>Key Account Manager</t>
        </is>
      </c>
      <c r="E59" s="14" t="inlineStr">
        <is>
          <t>DHL Global Forwarding</t>
        </is>
      </c>
      <c r="F59" s="13" t="inlineStr">
        <is>
          <t>Riyadh, KSA</t>
        </is>
      </c>
      <c r="G59" s="13" t="inlineStr">
        <is>
          <t>Unknown - check listing</t>
        </is>
      </c>
      <c r="H59" s="14" t="inlineStr">
        <is>
          <t>Logistics. No direct job-ID URL, verify via DHL careers</t>
        </is>
      </c>
      <c r="I59" s="14" t="inlineStr">
        <is>
          <t>Search DHL careers + sa.indeed.com/q-dhl-saudi-arabia</t>
        </is>
      </c>
      <c r="J59" s="13" t="inlineStr"/>
      <c r="K59" s="13" t="inlineStr"/>
      <c r="L59" s="26" t="inlineStr"/>
      <c r="M59" s="26" t="inlineStr"/>
    </row>
    <row r="60">
      <c r="A60" s="18" t="n">
        <v>0</v>
      </c>
      <c r="B60" s="19" t="inlineStr">
        <is>
          <t>Not started</t>
        </is>
      </c>
      <c r="C60" s="19" t="inlineStr">
        <is>
          <t>Indeed</t>
        </is>
      </c>
      <c r="D60" s="20" t="inlineStr">
        <is>
          <t>New Account Manager</t>
        </is>
      </c>
      <c r="E60" s="20" t="inlineStr">
        <is>
          <t>Employer unclear</t>
        </is>
      </c>
      <c r="F60" s="19" t="inlineStr">
        <is>
          <t>Jeddah, KSA</t>
        </is>
      </c>
      <c r="G60" s="19" t="inlineStr">
        <is>
          <t>Unknown - check listing</t>
        </is>
      </c>
      <c r="H60" s="20" t="inlineStr">
        <is>
          <t>EXCLUDED: explicitly restricted to Saudi Nationals only</t>
        </is>
      </c>
      <c r="I60" s="20" t="inlineStr">
        <is>
          <t>https://sa.indeed.com/viewjob?jk=5e91752af6cd7a1b</t>
        </is>
      </c>
      <c r="J60" s="19" t="inlineStr"/>
      <c r="K60" s="19" t="inlineStr"/>
      <c r="L60" s="26" t="inlineStr"/>
      <c r="M60" s="26" t="inlineStr"/>
    </row>
    <row r="61">
      <c r="A61" s="9" t="n">
        <v>1</v>
      </c>
      <c r="B61" s="10" t="inlineStr">
        <is>
          <t>Not started</t>
        </is>
      </c>
      <c r="C61" s="10" t="inlineStr">
        <is>
          <t>Naukrigulf</t>
        </is>
      </c>
      <c r="D61" s="11" t="inlineStr">
        <is>
          <t>Customer Success Manager</t>
        </is>
      </c>
      <c r="E61" s="11" t="inlineStr">
        <is>
          <t>Botpress Technologies Inc.</t>
        </is>
      </c>
      <c r="F61" s="10" t="inlineStr">
        <is>
          <t>Dubai, UAE</t>
        </is>
      </c>
      <c r="G61" s="10" t="inlineStr">
        <is>
          <t>Unknown - check listing</t>
        </is>
      </c>
      <c r="H61" s="11" t="inlineStr">
        <is>
          <t>Conversational AI SaaS, 7-10yrs</t>
        </is>
      </c>
      <c r="I61" s="11" t="inlineStr">
        <is>
          <t>https://www.naukrigulf.com/customer-success-manager-jobs-in-dubai-uae-in-botpress-technologies-inc-7-to-10-years-n-cd-40003823-jid-020126501863</t>
        </is>
      </c>
      <c r="J61" s="10" t="inlineStr"/>
      <c r="K61" s="10" t="inlineStr"/>
      <c r="L61" s="26" t="inlineStr">
        <is>
          <t>CSM — Mohamed_Amer_CV_ATS_CSM.pdf</t>
        </is>
      </c>
      <c r="M61" s="26" t="inlineStr">
        <is>
          <t>Ready — job-search/Tailored_Applications_Tier1.md #33</t>
        </is>
      </c>
    </row>
    <row r="62">
      <c r="A62" s="9" t="n">
        <v>1</v>
      </c>
      <c r="B62" s="10" t="inlineStr">
        <is>
          <t>Not started</t>
        </is>
      </c>
      <c r="C62" s="10" t="inlineStr">
        <is>
          <t>Naukrigulf</t>
        </is>
      </c>
      <c r="D62" s="11" t="inlineStr">
        <is>
          <t>Customer Success Manager - Enterprise</t>
        </is>
      </c>
      <c r="E62" s="11" t="inlineStr">
        <is>
          <t>Alaan</t>
        </is>
      </c>
      <c r="F62" s="10" t="inlineStr">
        <is>
          <t>Dubai, UAE</t>
        </is>
      </c>
      <c r="G62" s="10" t="inlineStr">
        <is>
          <t>Unknown - check listing</t>
        </is>
      </c>
      <c r="H62" s="11" t="inlineStr">
        <is>
          <t>Fintech SaaS, 6-11yrs (distinct from Mid-Market role above)</t>
        </is>
      </c>
      <c r="I62" s="11" t="inlineStr">
        <is>
          <t>https://www.naukrigulf.com/job-title-customer-success-manager-enterprise-jobs-in-dubai-uae-in-alaan-6-to-11-years-n-cd-40003340-jid-030726500966</t>
        </is>
      </c>
      <c r="J62" s="10" t="inlineStr"/>
      <c r="K62" s="10" t="inlineStr"/>
      <c r="L62" s="26" t="inlineStr">
        <is>
          <t>CSM — Mohamed_Amer_CV_ATS_CSM.pdf</t>
        </is>
      </c>
      <c r="M62" s="26" t="inlineStr">
        <is>
          <t>Ready — job-search/Tailored_Applications_Tier1.md #34</t>
        </is>
      </c>
    </row>
    <row r="63">
      <c r="A63" s="9" t="n">
        <v>1</v>
      </c>
      <c r="B63" s="10" t="inlineStr">
        <is>
          <t>Not started</t>
        </is>
      </c>
      <c r="C63" s="10" t="inlineStr">
        <is>
          <t>Naukrigulf</t>
        </is>
      </c>
      <c r="D63" s="11" t="inlineStr">
        <is>
          <t>Customer Success Manager</t>
        </is>
      </c>
      <c r="E63" s="11" t="inlineStr">
        <is>
          <t>Alpaca</t>
        </is>
      </c>
      <c r="F63" s="10" t="inlineStr">
        <is>
          <t>UAE</t>
        </is>
      </c>
      <c r="G63" s="10" t="inlineStr">
        <is>
          <t>Unknown - check listing</t>
        </is>
      </c>
      <c r="H63" s="11" t="inlineStr">
        <is>
          <t>Fintech/trading SaaS, 4-6yrs</t>
        </is>
      </c>
      <c r="I63" s="11" t="inlineStr">
        <is>
          <t>https://www.naukrigulf.com/customer-success-manager-jobs-in-uae-in-alpaca-4-to-6-years-n-cd-40005461-jid-030726500943</t>
        </is>
      </c>
      <c r="J63" s="10" t="inlineStr"/>
      <c r="K63" s="10" t="inlineStr"/>
      <c r="L63" s="26" t="inlineStr">
        <is>
          <t>CSM — Mohamed_Amer_CV_ATS_CSM.pdf</t>
        </is>
      </c>
      <c r="M63" s="26" t="inlineStr">
        <is>
          <t>Ready — job-search/Tailored_Applications_Tier1.md #35</t>
        </is>
      </c>
    </row>
    <row r="64">
      <c r="A64" s="12" t="n">
        <v>2</v>
      </c>
      <c r="B64" s="13" t="inlineStr">
        <is>
          <t>Not started</t>
        </is>
      </c>
      <c r="C64" s="13" t="inlineStr">
        <is>
          <t>Naukrigulf</t>
        </is>
      </c>
      <c r="D64" s="14" t="inlineStr">
        <is>
          <t>Customer Success Manager</t>
        </is>
      </c>
      <c r="E64" s="14" t="inlineStr">
        <is>
          <t>Client of Imploy (agency)</t>
        </is>
      </c>
      <c r="F64" s="13" t="inlineStr">
        <is>
          <t>Riyadh, KSA</t>
        </is>
      </c>
      <c r="G64" s="13" t="inlineStr">
        <is>
          <t>Unknown - check listing</t>
        </is>
      </c>
      <c r="H64" s="14" t="inlineStr">
        <is>
          <t>Agency posting, end employer undisclosed</t>
        </is>
      </c>
      <c r="I64" s="14" t="inlineStr">
        <is>
          <t>https://www.naukrigulf.com/customer-success-manager-jobs-in-riyadh-saudi-arabia-in-client-of-imploy-6-to-11-years-n-cd-50000292-jid-160726500521</t>
        </is>
      </c>
      <c r="J64" s="13" t="inlineStr"/>
      <c r="K64" s="13" t="inlineStr"/>
      <c r="L64" s="26" t="inlineStr"/>
      <c r="M64" s="26" t="inlineStr"/>
    </row>
    <row r="65">
      <c r="A65" s="9" t="n">
        <v>1</v>
      </c>
      <c r="B65" s="10" t="inlineStr">
        <is>
          <t>Not started</t>
        </is>
      </c>
      <c r="C65" s="10" t="inlineStr">
        <is>
          <t>Naukrigulf</t>
        </is>
      </c>
      <c r="D65" s="11" t="inlineStr">
        <is>
          <t>Customer Success Manager - Middle East</t>
        </is>
      </c>
      <c r="E65" s="11" t="inlineStr">
        <is>
          <t>Adobe</t>
        </is>
      </c>
      <c r="F65" s="10" t="inlineStr">
        <is>
          <t>Riyadh, KSA</t>
        </is>
      </c>
      <c r="G65" s="10" t="inlineStr">
        <is>
          <t>Unknown - check listing</t>
        </is>
      </c>
      <c r="H65" s="11" t="inlineStr">
        <is>
          <t>FLAG: posted ~Nov 2025, verify still live</t>
        </is>
      </c>
      <c r="I65" s="11" t="inlineStr">
        <is>
          <t>https://www.naukrigulf.com/customer-success-manager-jobs-in-riyadh-saudi-arabia-in-adobe-5-to-10-years-n-cd-40003381-jid-241125501744</t>
        </is>
      </c>
      <c r="J65" s="10" t="inlineStr"/>
      <c r="K65" s="10" t="inlineStr"/>
      <c r="L65" s="26" t="inlineStr">
        <is>
          <t>CSM — Mohamed_Amer_CV_ATS_CSM.pdf</t>
        </is>
      </c>
      <c r="M65" s="26" t="inlineStr">
        <is>
          <t>Ready — job-search/Tailored_Applications_Tier1.md #36</t>
        </is>
      </c>
    </row>
    <row r="66">
      <c r="A66" s="9" t="n">
        <v>1</v>
      </c>
      <c r="B66" s="10" t="inlineStr">
        <is>
          <t>Not started</t>
        </is>
      </c>
      <c r="C66" s="10" t="inlineStr">
        <is>
          <t>Naukrigulf</t>
        </is>
      </c>
      <c r="D66" s="11" t="inlineStr">
        <is>
          <t>Sr. Customer Success Manager</t>
        </is>
      </c>
      <c r="E66" s="11" t="inlineStr">
        <is>
          <t>Dataiku</t>
        </is>
      </c>
      <c r="F66" s="10" t="inlineStr">
        <is>
          <t>Saudi Arabia</t>
        </is>
      </c>
      <c r="G66" s="10" t="inlineStr">
        <is>
          <t>Unknown - check listing</t>
        </is>
      </c>
      <c r="H66" s="11" t="inlineStr">
        <is>
          <t>Enterprise AI/data SaaS, 7-12yrs</t>
        </is>
      </c>
      <c r="I66" s="11" t="inlineStr">
        <is>
          <t>https://www.naukrigulf.com/sr-customer-success-manager-jobs-in-saudi-arabia-in-dataiku-7-to-12-years-n-cd-10006224-jid-070526500566</t>
        </is>
      </c>
      <c r="J66" s="10" t="inlineStr"/>
      <c r="K66" s="10" t="inlineStr"/>
      <c r="L66" s="26" t="inlineStr">
        <is>
          <t>CSM — Mohamed_Amer_CV_ATS_CSM.pdf</t>
        </is>
      </c>
      <c r="M66" s="26" t="inlineStr">
        <is>
          <t>Ready — job-search/Tailored_Applications_Tier1.md #37</t>
        </is>
      </c>
    </row>
    <row r="67">
      <c r="A67" s="9" t="n">
        <v>1</v>
      </c>
      <c r="B67" s="10" t="inlineStr">
        <is>
          <t>Not started</t>
        </is>
      </c>
      <c r="C67" s="10" t="inlineStr">
        <is>
          <t>Naukrigulf</t>
        </is>
      </c>
      <c r="D67" s="11" t="inlineStr">
        <is>
          <t>Customer Success Manager - Procurement</t>
        </is>
      </c>
      <c r="E67" s="11" t="inlineStr">
        <is>
          <t>SAP</t>
        </is>
      </c>
      <c r="F67" s="10" t="inlineStr">
        <is>
          <t>Riyadh, KSA</t>
        </is>
      </c>
      <c r="G67" s="10" t="inlineStr">
        <is>
          <t>Unknown - check listing</t>
        </is>
      </c>
      <c r="H67" s="11" t="inlineStr">
        <is>
          <t>ERP vendor, 1-5yrs listed (verify seniority fit). Possible overlap with LinkedIn-bonus SAP CSM row</t>
        </is>
      </c>
      <c r="I67" s="11" t="inlineStr">
        <is>
          <t>https://www.naukrigulf.com/customer-success-manager-procurement-jobs-in-riyadh-saudi-arabia-in-sap-1-to-5-years-n-cd-10001044-jid-010726501300</t>
        </is>
      </c>
      <c r="J67" s="10" t="inlineStr"/>
      <c r="K67" s="10" t="inlineStr"/>
      <c r="L67" s="26" t="inlineStr">
        <is>
          <t>CSM — Mohamed_Amer_CV_ATS_CSM.pdf</t>
        </is>
      </c>
      <c r="M67" s="26" t="inlineStr">
        <is>
          <t>Ready — job-search/Tailored_Applications_Tier1.md #38</t>
        </is>
      </c>
    </row>
    <row r="68">
      <c r="A68" s="12" t="n">
        <v>2</v>
      </c>
      <c r="B68" s="13" t="inlineStr">
        <is>
          <t>Not started</t>
        </is>
      </c>
      <c r="C68" s="13" t="inlineStr">
        <is>
          <t>Naukrigulf</t>
        </is>
      </c>
      <c r="D68" s="14" t="inlineStr">
        <is>
          <t>Customer Success Manager (Radiology)</t>
        </is>
      </c>
      <c r="E68" s="14" t="inlineStr">
        <is>
          <t>Harrison.ai</t>
        </is>
      </c>
      <c r="F68" s="13" t="inlineStr">
        <is>
          <t>Saudi Arabia</t>
        </is>
      </c>
      <c r="G68" s="13" t="inlineStr">
        <is>
          <t>Unknown - check listing</t>
        </is>
      </c>
      <c r="H68" s="14" t="inlineStr">
        <is>
          <t>Healthcare AI SaaS niche</t>
        </is>
      </c>
      <c r="I68" s="14" t="inlineStr">
        <is>
          <t>https://www.naukrigulf.com/customer-success-manager-jobs-in-saudi-arabia-in-harrison-ai-1-to-5-years-n-cd-40004833-jid-090726501508</t>
        </is>
      </c>
      <c r="J68" s="13" t="inlineStr"/>
      <c r="K68" s="13" t="inlineStr"/>
      <c r="L68" s="26" t="inlineStr"/>
      <c r="M68" s="26" t="inlineStr"/>
    </row>
    <row r="69">
      <c r="A69" s="15" t="n">
        <v>3</v>
      </c>
      <c r="B69" s="16" t="inlineStr">
        <is>
          <t>Not started</t>
        </is>
      </c>
      <c r="C69" s="16" t="inlineStr">
        <is>
          <t>Naukrigulf</t>
        </is>
      </c>
      <c r="D69" s="17" t="inlineStr">
        <is>
          <t>Key Account Manager - SaaS</t>
        </is>
      </c>
      <c r="E69" s="17" t="inlineStr">
        <is>
          <t>Confidential (agency-posted)</t>
        </is>
      </c>
      <c r="F69" s="16" t="inlineStr">
        <is>
          <t>Dubai, UAE</t>
        </is>
      </c>
      <c r="G69" s="16" t="inlineStr">
        <is>
          <t>Unknown - check listing</t>
        </is>
      </c>
      <c r="H69" s="17" t="inlineStr">
        <is>
          <t>0-3yrs required - likely too junior</t>
        </is>
      </c>
      <c r="I69" s="17" t="inlineStr">
        <is>
          <t>https://www.naukrigulf.com/key-account-manager-saas-jobs-in-dubai-uae-in-confidential-0-to-3-years-n-jid-100426000103</t>
        </is>
      </c>
      <c r="J69" s="16" t="inlineStr"/>
      <c r="K69" s="16" t="inlineStr"/>
      <c r="L69" s="26" t="inlineStr"/>
      <c r="M69" s="26" t="inlineStr"/>
    </row>
    <row r="70">
      <c r="A70" s="12" t="n">
        <v>2</v>
      </c>
      <c r="B70" s="13" t="inlineStr">
        <is>
          <t>Not started</t>
        </is>
      </c>
      <c r="C70" s="13" t="inlineStr">
        <is>
          <t>Naukrigulf</t>
        </is>
      </c>
      <c r="D70" s="14" t="inlineStr">
        <is>
          <t>Key Account Manager - Regional</t>
        </is>
      </c>
      <c r="E70" s="14" t="inlineStr">
        <is>
          <t>Confidential (agency-posted)</t>
        </is>
      </c>
      <c r="F70" s="13" t="inlineStr">
        <is>
          <t>Dubai, UAE</t>
        </is>
      </c>
      <c r="G70" s="13" t="inlineStr">
        <is>
          <t>Unknown - check listing</t>
        </is>
      </c>
      <c r="H70" s="14" t="inlineStr">
        <is>
          <t>5-10yrs, employer undisclosed</t>
        </is>
      </c>
      <c r="I70" s="14" t="inlineStr">
        <is>
          <t>https://www.naukrigulf.com/key-account-manager-regional-jobs-in-dubai-uae-in-confidential-5-to-10-years-n-jid-160426001005</t>
        </is>
      </c>
      <c r="J70" s="13" t="inlineStr"/>
      <c r="K70" s="13" t="inlineStr"/>
      <c r="L70" s="26" t="inlineStr"/>
      <c r="M70" s="26" t="inlineStr"/>
    </row>
    <row r="71">
      <c r="A71" s="9" t="n">
        <v>1</v>
      </c>
      <c r="B71" s="10" t="inlineStr">
        <is>
          <t>Not started</t>
        </is>
      </c>
      <c r="C71" s="10" t="inlineStr">
        <is>
          <t>Naukrigulf</t>
        </is>
      </c>
      <c r="D71" s="11" t="inlineStr">
        <is>
          <t>Strategic Account Manager, Legal</t>
        </is>
      </c>
      <c r="E71" s="11" t="inlineStr">
        <is>
          <t>Thomson Reuters</t>
        </is>
      </c>
      <c r="F71" s="10" t="inlineStr">
        <is>
          <t>Riyadh, KSA</t>
        </is>
      </c>
      <c r="G71" s="10" t="inlineStr">
        <is>
          <t>Unknown - check listing</t>
        </is>
      </c>
      <c r="H71" s="11" t="inlineStr">
        <is>
          <t>Legal SaaS, global brand</t>
        </is>
      </c>
      <c r="I71" s="11" t="inlineStr">
        <is>
          <t>https://www.naukrigulf.com/strategic-account-manager-legal-jobs-in-riyadh-null-in-thomson-reuters-2-to-5-years-n-cd-10000109-jid-130726502264</t>
        </is>
      </c>
      <c r="J71" s="10" t="inlineStr"/>
      <c r="K71" s="10" t="inlineStr"/>
      <c r="L71" s="26" t="inlineStr">
        <is>
          <t>AM — Mohamed_Amer_CV_ATS_AM.pdf</t>
        </is>
      </c>
      <c r="M71" s="26" t="inlineStr">
        <is>
          <t>Ready — job-search/Tailored_Applications_Tier1.md #39</t>
        </is>
      </c>
    </row>
    <row r="72">
      <c r="A72" s="9" t="n">
        <v>1</v>
      </c>
      <c r="B72" s="10" t="inlineStr">
        <is>
          <t>Not started</t>
        </is>
      </c>
      <c r="C72" s="10" t="inlineStr">
        <is>
          <t>Naukrigulf</t>
        </is>
      </c>
      <c r="D72" s="11" t="inlineStr">
        <is>
          <t>Strategic Account Manager</t>
        </is>
      </c>
      <c r="E72" s="11" t="inlineStr">
        <is>
          <t>Keeta</t>
        </is>
      </c>
      <c r="F72" s="10" t="inlineStr">
        <is>
          <t>Dubai, UAE</t>
        </is>
      </c>
      <c r="G72" s="10" t="inlineStr">
        <is>
          <t>Unknown - check listing</t>
        </is>
      </c>
      <c r="H72" s="11" t="inlineStr">
        <is>
          <t>Tech/delivery platform, 3-6yrs</t>
        </is>
      </c>
      <c r="I72" s="11" t="inlineStr">
        <is>
          <t>https://www.naukrigulf.com/strategic-account-manager-jobs-in-dubai-uae-in-keeta-3-to-6-years-n-cd-40003217-jid-290525500435</t>
        </is>
      </c>
      <c r="J72" s="10" t="inlineStr"/>
      <c r="K72" s="10" t="inlineStr"/>
      <c r="L72" s="26" t="inlineStr">
        <is>
          <t>AM — Mohamed_Amer_CV_ATS_AM.pdf</t>
        </is>
      </c>
      <c r="M72" s="26" t="inlineStr">
        <is>
          <t>Ready — job-search/Tailored_Applications_Tier1.md #40</t>
        </is>
      </c>
    </row>
    <row r="73">
      <c r="A73" s="12" t="n">
        <v>2</v>
      </c>
      <c r="B73" s="13" t="inlineStr">
        <is>
          <t>Not started</t>
        </is>
      </c>
      <c r="C73" s="13" t="inlineStr">
        <is>
          <t>Naukrigulf</t>
        </is>
      </c>
      <c r="D73" s="14" t="inlineStr">
        <is>
          <t>Key Account Manager</t>
        </is>
      </c>
      <c r="E73" s="14" t="inlineStr">
        <is>
          <t>Keeta</t>
        </is>
      </c>
      <c r="F73" s="13" t="inlineStr">
        <is>
          <t>Riyadh, KSA</t>
        </is>
      </c>
      <c r="G73" s="13" t="inlineStr">
        <is>
          <t>Unknown - check listing</t>
        </is>
      </c>
      <c r="H73" s="14" t="inlineStr">
        <is>
          <t>2-3yrs - lower end of range</t>
        </is>
      </c>
      <c r="I73" s="14" t="inlineStr">
        <is>
          <t>https://www.naukrigulf.com/key-account-manager-jobs-in-riyadh-saudi-arabia-in-keeta-2-to-3-years-n-cd-40003217-jid-290525500410</t>
        </is>
      </c>
      <c r="J73" s="13" t="inlineStr"/>
      <c r="K73" s="13" t="inlineStr"/>
      <c r="L73" s="26" t="inlineStr"/>
      <c r="M73" s="26" t="inlineStr"/>
    </row>
    <row r="74">
      <c r="A74" s="9" t="n">
        <v>1</v>
      </c>
      <c r="B74" s="10" t="inlineStr">
        <is>
          <t>Not started</t>
        </is>
      </c>
      <c r="C74" s="10" t="inlineStr">
        <is>
          <t>Naukrigulf</t>
        </is>
      </c>
      <c r="D74" s="11" t="inlineStr">
        <is>
          <t>Senior Account Manager</t>
        </is>
      </c>
      <c r="E74" s="11" t="inlineStr">
        <is>
          <t>International Data Group (IDG)</t>
        </is>
      </c>
      <c r="F74" s="10" t="inlineStr">
        <is>
          <t>UAE</t>
        </is>
      </c>
      <c r="G74" s="10" t="inlineStr">
        <is>
          <t>Unknown - check listing</t>
        </is>
      </c>
      <c r="H74" s="11" t="inlineStr">
        <is>
          <t>Tech media/research, 8-10yrs (upper end of band)</t>
        </is>
      </c>
      <c r="I74" s="11" t="inlineStr">
        <is>
          <t>https://www.naukrigulf.com/senior-account-manager-jobs-in-uae-in-international-data-group-8-to-10-years-n-cd-10000734-jid-270426500755</t>
        </is>
      </c>
      <c r="J74" s="10" t="inlineStr"/>
      <c r="K74" s="10" t="inlineStr"/>
      <c r="L74" s="26" t="inlineStr">
        <is>
          <t>AM — Mohamed_Amer_CV_ATS_AM.pdf</t>
        </is>
      </c>
      <c r="M74" s="26" t="inlineStr">
        <is>
          <t>Ready — job-search/Tailored_Applications_Tier1.md #41</t>
        </is>
      </c>
    </row>
    <row r="75">
      <c r="A75" s="12" t="n">
        <v>2</v>
      </c>
      <c r="B75" s="13" t="inlineStr">
        <is>
          <t>Not started</t>
        </is>
      </c>
      <c r="C75" s="13" t="inlineStr">
        <is>
          <t>Naukrigulf</t>
        </is>
      </c>
      <c r="D75" s="14" t="inlineStr">
        <is>
          <t>Senior Account Manager</t>
        </is>
      </c>
      <c r="E75" s="14" t="inlineStr">
        <is>
          <t>Midis Group</t>
        </is>
      </c>
      <c r="F75" s="13" t="inlineStr">
        <is>
          <t>Doha, Qatar</t>
        </is>
      </c>
      <c r="G75" s="13" t="inlineStr">
        <is>
          <t>Unknown - check listing</t>
        </is>
      </c>
      <c r="H75" s="14" t="inlineStr">
        <is>
          <t>IT distribution, 5-7yrs</t>
        </is>
      </c>
      <c r="I75" s="14" t="inlineStr">
        <is>
          <t>https://www.naukrigulf.com/senior-account-manager-jobs-in-doha-qatar-in-midis-group-5-to-7-years-n-cd-10001626-jid-260626501204</t>
        </is>
      </c>
      <c r="J75" s="13" t="inlineStr"/>
      <c r="K75" s="13" t="inlineStr"/>
      <c r="L75" s="26" t="inlineStr"/>
      <c r="M75" s="26" t="inlineStr"/>
    </row>
    <row r="76">
      <c r="A76" s="12" t="n">
        <v>2</v>
      </c>
      <c r="B76" s="13" t="inlineStr">
        <is>
          <t>Not started</t>
        </is>
      </c>
      <c r="C76" s="13" t="inlineStr">
        <is>
          <t>Naukrigulf</t>
        </is>
      </c>
      <c r="D76" s="14" t="inlineStr">
        <is>
          <t>Sales Account Manager - Cloud Infra &amp; Security</t>
        </is>
      </c>
      <c r="E76" s="14" t="inlineStr">
        <is>
          <t>Intertec Systems LLC</t>
        </is>
      </c>
      <c r="F76" s="13" t="inlineStr">
        <is>
          <t>Dubai, UAE</t>
        </is>
      </c>
      <c r="G76" s="13" t="inlineStr">
        <is>
          <t>Unknown - check listing</t>
        </is>
      </c>
      <c r="H76" s="14" t="inlineStr">
        <is>
          <t>IT solutions provider, 8-10yrs</t>
        </is>
      </c>
      <c r="I76" s="14" t="inlineStr">
        <is>
          <t>https://www.naukrigulf.com/sales-account-manager-cloud-infra-security-jobs-in-dubai-uae-in-intertec-systems-llc-8-to-10-years-n-cd-20249-jid-250526000587</t>
        </is>
      </c>
      <c r="J76" s="13" t="inlineStr"/>
      <c r="K76" s="13" t="inlineStr"/>
      <c r="L76" s="26" t="inlineStr"/>
      <c r="M76" s="26" t="inlineStr"/>
    </row>
    <row r="77">
      <c r="A77" s="9" t="n">
        <v>1</v>
      </c>
      <c r="B77" s="10" t="inlineStr">
        <is>
          <t>Not started</t>
        </is>
      </c>
      <c r="C77" s="10" t="inlineStr">
        <is>
          <t>Naukrigulf</t>
        </is>
      </c>
      <c r="D77" s="11" t="inlineStr">
        <is>
          <t>Partnerships Account Manager</t>
        </is>
      </c>
      <c r="E77" s="11" t="inlineStr">
        <is>
          <t>Bayut.com (Dubizzle Group)</t>
        </is>
      </c>
      <c r="F77" s="10" t="inlineStr">
        <is>
          <t>Dubai, UAE</t>
        </is>
      </c>
      <c r="G77" s="10" t="inlineStr">
        <is>
          <t>Unknown - check listing</t>
        </is>
      </c>
      <c r="H77" s="11" t="inlineStr">
        <is>
          <t>Proptech, 2-7yrs. Same employer as LinkedIn Senior Sales AM row above</t>
        </is>
      </c>
      <c r="I77" s="11" t="inlineStr">
        <is>
          <t>https://www.naukrigulf.com/partnerships-account-manager-jobs-in-dubai-uae-in-bayut-com-2-to-7-years-n-cd-10002769-jid-020226501249</t>
        </is>
      </c>
      <c r="J77" s="10" t="inlineStr"/>
      <c r="K77" s="10" t="inlineStr"/>
      <c r="L77" s="26" t="inlineStr">
        <is>
          <t>AM — Mohamed_Amer_CV_ATS_AM.pdf</t>
        </is>
      </c>
      <c r="M77" s="26" t="inlineStr">
        <is>
          <t>Ready — job-search/Tailored_Applications_Tier1.md #42</t>
        </is>
      </c>
    </row>
    <row r="78">
      <c r="A78" s="15" t="n">
        <v>3</v>
      </c>
      <c r="B78" s="16" t="inlineStr">
        <is>
          <t>Not started</t>
        </is>
      </c>
      <c r="C78" s="16" t="inlineStr">
        <is>
          <t>Naukrigulf</t>
        </is>
      </c>
      <c r="D78" s="17" t="inlineStr">
        <is>
          <t>Account Manager</t>
        </is>
      </c>
      <c r="E78" s="17" t="inlineStr">
        <is>
          <t>Hewlett-Packard (HP)</t>
        </is>
      </c>
      <c r="F78" s="16" t="inlineStr">
        <is>
          <t>Dubai, UAE</t>
        </is>
      </c>
      <c r="G78" s="16" t="inlineStr">
        <is>
          <t>Unknown - check listing</t>
        </is>
      </c>
      <c r="H78" s="17" t="inlineStr">
        <is>
          <t>8-17yrs - likely above target seniority</t>
        </is>
      </c>
      <c r="I78" s="17" t="inlineStr">
        <is>
          <t>https://www.naukrigulf.com/account-manager-jobs-in-dubai-uae-in-hewlett-packard-8-to-17-years-n-cd-10001411-jid-240626501122</t>
        </is>
      </c>
      <c r="J78" s="16" t="inlineStr"/>
      <c r="K78" s="16" t="inlineStr"/>
      <c r="L78" s="26" t="inlineStr"/>
      <c r="M78" s="26" t="inlineStr"/>
    </row>
    <row r="79">
      <c r="A79" s="12" t="n">
        <v>2</v>
      </c>
      <c r="B79" s="13" t="inlineStr">
        <is>
          <t>Not started</t>
        </is>
      </c>
      <c r="C79" s="13" t="inlineStr">
        <is>
          <t>Naukrigulf</t>
        </is>
      </c>
      <c r="D79" s="14" t="inlineStr">
        <is>
          <t>Key Account Manager - ICT / Telecom Sales (2 similar postings)</t>
        </is>
      </c>
      <c r="E79" s="14" t="inlineStr">
        <is>
          <t>Agency (EMinds) / Etisalat Facilities Mgmt</t>
        </is>
      </c>
      <c r="F79" s="13" t="inlineStr">
        <is>
          <t>Abu Dhabi &amp; Dubai, UAE</t>
        </is>
      </c>
      <c r="G79" s="13" t="inlineStr">
        <is>
          <t>Unknown - check listing</t>
        </is>
      </c>
      <c r="H79" s="14" t="inlineStr">
        <is>
          <t>Same agency posted 2 near-duplicate reqs, 2-6yrs</t>
        </is>
      </c>
      <c r="I79" s="14" t="inlineStr">
        <is>
          <t>https://www.naukrigulf.com/key-account-manager-ict-sales-jobs-in-abu-dhabi-uae-in-etisalat-facilities-management-2-to-5-years-n-cd-79094-jid-150726000703 | https://www.naukrigulf.com/key-account-manager-telecom-industry-jobs-in-abu-dhabi-uae-in-etisalat-facilities-management-2-to-6-years-n-cd-79094-jid-100626000334</t>
        </is>
      </c>
      <c r="J79" s="13" t="inlineStr"/>
      <c r="K79" s="13" t="inlineStr"/>
      <c r="L79" s="26" t="inlineStr"/>
      <c r="M79" s="26" t="inlineStr"/>
    </row>
    <row r="80">
      <c r="A80" s="12" t="n">
        <v>2</v>
      </c>
      <c r="B80" s="13" t="inlineStr">
        <is>
          <t>Not started</t>
        </is>
      </c>
      <c r="C80" s="13" t="inlineStr">
        <is>
          <t>Naukrigulf</t>
        </is>
      </c>
      <c r="D80" s="14" t="inlineStr">
        <is>
          <t>Key Account Manager</t>
        </is>
      </c>
      <c r="E80" s="14" t="inlineStr">
        <is>
          <t>AbbVie Inc.</t>
        </is>
      </c>
      <c r="F80" s="13" t="inlineStr">
        <is>
          <t>Dubai, UAE</t>
        </is>
      </c>
      <c r="G80" s="13" t="inlineStr">
        <is>
          <t>Unknown - check listing</t>
        </is>
      </c>
      <c r="H80" s="14" t="inlineStr">
        <is>
          <t>Pharma, 1-7yrs</t>
        </is>
      </c>
      <c r="I80" s="14" t="inlineStr">
        <is>
          <t>https://www.naukrigulf.com/key-account-manager-jobs-in-dubai-uae-in-abbvie-inc-1-to-7-years-n-cd-10002915-jid-200426500909</t>
        </is>
      </c>
      <c r="J80" s="13" t="inlineStr"/>
      <c r="K80" s="13" t="inlineStr"/>
      <c r="L80" s="26" t="inlineStr"/>
      <c r="M80" s="26" t="inlineStr"/>
    </row>
    <row r="81">
      <c r="A81" s="12" t="n">
        <v>2</v>
      </c>
      <c r="B81" s="13" t="inlineStr">
        <is>
          <t>Not started</t>
        </is>
      </c>
      <c r="C81" s="13" t="inlineStr">
        <is>
          <t>Naukrigulf</t>
        </is>
      </c>
      <c r="D81" s="14" t="inlineStr">
        <is>
          <t>Key Account Manager</t>
        </is>
      </c>
      <c r="E81" s="14" t="inlineStr">
        <is>
          <t>Abbott Laboratories</t>
        </is>
      </c>
      <c r="F81" s="13" t="inlineStr">
        <is>
          <t>Riyadh, KSA</t>
        </is>
      </c>
      <c r="G81" s="13" t="inlineStr">
        <is>
          <t>Unknown - check listing</t>
        </is>
      </c>
      <c r="H81" s="14" t="inlineStr">
        <is>
          <t>Pharma. Same employer as Indeed Abbott UAE/Kuwait row</t>
        </is>
      </c>
      <c r="I81" s="14" t="inlineStr">
        <is>
          <t>https://www.naukrigulf.com/key-account-manager-jobs-in-riyadh-saudi-arabia-in-abbott-laboratories-3-to-5-years-n-cd-10003095-jid-220526500837</t>
        </is>
      </c>
      <c r="J81" s="13" t="inlineStr"/>
      <c r="K81" s="13" t="inlineStr"/>
      <c r="L81" s="26" t="inlineStr"/>
      <c r="M81" s="26" t="inlineStr"/>
    </row>
    <row r="82">
      <c r="A82" s="12" t="n">
        <v>2</v>
      </c>
      <c r="B82" s="13" t="inlineStr">
        <is>
          <t>Not started</t>
        </is>
      </c>
      <c r="C82" s="13" t="inlineStr">
        <is>
          <t>Naukrigulf</t>
        </is>
      </c>
      <c r="D82" s="14" t="inlineStr">
        <is>
          <t>Client Relationship Manager</t>
        </is>
      </c>
      <c r="E82" s="14" t="inlineStr">
        <is>
          <t>Talervo (agency-posted)</t>
        </is>
      </c>
      <c r="F82" s="13" t="inlineStr">
        <is>
          <t>Dubai, UAE</t>
        </is>
      </c>
      <c r="G82" s="13" t="inlineStr">
        <is>
          <t>Unknown - check listing</t>
        </is>
      </c>
      <c r="H82" s="14" t="inlineStr">
        <is>
          <t>5-10yrs</t>
        </is>
      </c>
      <c r="I82" s="14" t="inlineStr">
        <is>
          <t>https://www.naukrigulf.com/client-relationship-manager-jobs-in-dubai-uae-in-talervo-5-to-10-years-n-cd-328291-jid-100226001382</t>
        </is>
      </c>
      <c r="J82" s="13" t="inlineStr"/>
      <c r="K82" s="13" t="inlineStr"/>
      <c r="L82" s="26" t="inlineStr"/>
      <c r="M82" s="26" t="inlineStr"/>
    </row>
    <row r="83">
      <c r="A83" s="15" t="n">
        <v>3</v>
      </c>
      <c r="B83" s="16" t="inlineStr">
        <is>
          <t>Not started</t>
        </is>
      </c>
      <c r="C83" s="16" t="inlineStr">
        <is>
          <t>Naukrigulf</t>
        </is>
      </c>
      <c r="D83" s="17" t="inlineStr">
        <is>
          <t>Key Account Manager</t>
        </is>
      </c>
      <c r="E83" s="17" t="inlineStr">
        <is>
          <t>Alturki Holding</t>
        </is>
      </c>
      <c r="F83" s="16" t="inlineStr">
        <is>
          <t>Jeddah, KSA</t>
        </is>
      </c>
      <c r="G83" s="16" t="inlineStr">
        <is>
          <t>Unknown - check listing</t>
        </is>
      </c>
      <c r="H83" s="17" t="inlineStr">
        <is>
          <t>Diversified conglomerate, less SaaS-relevant</t>
        </is>
      </c>
      <c r="I83" s="17" t="inlineStr">
        <is>
          <t>https://www.naukrigulf.com/key-account-manager-jobs-in-jeddah-saudi-arabia-in-alturki-holding-5-to-7-years-n-cd-10001799-jid-130426500429</t>
        </is>
      </c>
      <c r="J83" s="16" t="inlineStr"/>
      <c r="K83" s="16" t="inlineStr"/>
      <c r="L83" s="26" t="inlineStr"/>
      <c r="M83" s="26" t="inlineStr"/>
    </row>
    <row r="84">
      <c r="A84" s="12" t="n">
        <v>2</v>
      </c>
      <c r="B84" s="13" t="inlineStr">
        <is>
          <t>Not started</t>
        </is>
      </c>
      <c r="C84" s="13" t="inlineStr">
        <is>
          <t>Naukrigulf</t>
        </is>
      </c>
      <c r="D84" s="14" t="inlineStr">
        <is>
          <t>Account Manager</t>
        </is>
      </c>
      <c r="E84" s="14" t="inlineStr">
        <is>
          <t>CNS Middle East</t>
        </is>
      </c>
      <c r="F84" s="13" t="inlineStr">
        <is>
          <t>Muscat, Oman</t>
        </is>
      </c>
      <c r="G84" s="13" t="inlineStr">
        <is>
          <t>Unknown - check listing</t>
        </is>
      </c>
      <c r="H84" s="14" t="inlineStr">
        <is>
          <t>Same employer group as Indeed CNS/Ghobash rows</t>
        </is>
      </c>
      <c r="I84" s="14" t="inlineStr">
        <is>
          <t>https://www.naukrigulf.com/account-manager-jobs-in-muscat-oman-in-cns-middle-east-5-to-7-years-n-cd-10050787-jid-050626500313</t>
        </is>
      </c>
      <c r="J84" s="13" t="inlineStr"/>
      <c r="K84" s="13" t="inlineStr"/>
      <c r="L84" s="26" t="inlineStr"/>
      <c r="M84" s="26" t="inlineStr"/>
    </row>
    <row r="85">
      <c r="A85" s="15" t="n">
        <v>3</v>
      </c>
      <c r="B85" s="16" t="inlineStr">
        <is>
          <t>Not started</t>
        </is>
      </c>
      <c r="C85" s="16" t="inlineStr">
        <is>
          <t>Naukrigulf</t>
        </is>
      </c>
      <c r="D85" s="17" t="inlineStr">
        <is>
          <t>Account Manager</t>
        </is>
      </c>
      <c r="E85" s="17" t="inlineStr">
        <is>
          <t>Ghobash Group</t>
        </is>
      </c>
      <c r="F85" s="16" t="inlineStr">
        <is>
          <t>Oman</t>
        </is>
      </c>
      <c r="G85" s="16" t="inlineStr">
        <is>
          <t>Unknown - check listing</t>
        </is>
      </c>
      <c r="H85" s="17" t="inlineStr">
        <is>
          <t>Parent group of CNS Middle East - generic scope</t>
        </is>
      </c>
      <c r="I85" s="17" t="inlineStr">
        <is>
          <t>https://www.naukrigulf.com/account-manager-jobs-in-oman-in-ghobash-group-5-to-7-years-n-cd-10001515-jid-240626500975</t>
        </is>
      </c>
      <c r="J85" s="16" t="inlineStr"/>
      <c r="K85" s="16" t="inlineStr"/>
      <c r="L85" s="26" t="inlineStr"/>
      <c r="M85" s="26" t="inlineStr"/>
    </row>
    <row r="86">
      <c r="A86" s="12" t="n">
        <v>2</v>
      </c>
      <c r="B86" s="13" t="inlineStr">
        <is>
          <t>Not started</t>
        </is>
      </c>
      <c r="C86" s="13" t="inlineStr">
        <is>
          <t>Naukrigulf</t>
        </is>
      </c>
      <c r="D86" s="14" t="inlineStr">
        <is>
          <t>Commercial Procurement Account Manager</t>
        </is>
      </c>
      <c r="E86" s="14" t="inlineStr">
        <is>
          <t>Zain</t>
        </is>
      </c>
      <c r="F86" s="13" t="inlineStr">
        <is>
          <t>Al Kuwait, Kuwait</t>
        </is>
      </c>
      <c r="G86" s="13" t="inlineStr">
        <is>
          <t>Unknown - check listing</t>
        </is>
      </c>
      <c r="H86" s="14" t="inlineStr">
        <is>
          <t>Telecom, 2-7yrs</t>
        </is>
      </c>
      <c r="I86" s="14" t="inlineStr">
        <is>
          <t>https://www.naukrigulf.com/commercial-procurement-account-manager-jobs-in-al-kuwait-kuwait-in-zain-2-to-7-years-n-cd-10005956-jid-120526500323</t>
        </is>
      </c>
      <c r="J86" s="13" t="inlineStr"/>
      <c r="K86" s="13" t="inlineStr"/>
      <c r="L86" s="26" t="inlineStr"/>
      <c r="M86" s="26" t="inlineStr"/>
    </row>
    <row r="87">
      <c r="A87" s="15" t="n">
        <v>3</v>
      </c>
      <c r="B87" s="16" t="inlineStr">
        <is>
          <t>Not started</t>
        </is>
      </c>
      <c r="C87" s="16" t="inlineStr">
        <is>
          <t>Naukrigulf</t>
        </is>
      </c>
      <c r="D87" s="17" t="inlineStr">
        <is>
          <t>Key Account Manager</t>
        </is>
      </c>
      <c r="E87" s="17" t="inlineStr">
        <is>
          <t>Digitus Group</t>
        </is>
      </c>
      <c r="F87" s="16" t="inlineStr">
        <is>
          <t>Al Kuwait, Kuwait</t>
        </is>
      </c>
      <c r="G87" s="16" t="inlineStr">
        <is>
          <t>Unknown - check listing</t>
        </is>
      </c>
      <c r="H87" s="17" t="inlineStr">
        <is>
          <t>Industry unclear, 8-10yrs</t>
        </is>
      </c>
      <c r="I87" s="17" t="inlineStr">
        <is>
          <t>https://www.naukrigulf.com/key-account-manager-jobs-in-al-kuwait-kuwait-in-digitus-group-8-to-10-years-n-cd-40004325-jid-010726501095</t>
        </is>
      </c>
      <c r="J87" s="16" t="inlineStr"/>
      <c r="K87" s="16" t="inlineStr"/>
      <c r="L87" s="26" t="inlineStr"/>
      <c r="M87" s="26" t="inlineStr"/>
    </row>
    <row r="88">
      <c r="A88" s="12" t="n">
        <v>2</v>
      </c>
      <c r="B88" s="13" t="inlineStr">
        <is>
          <t>Not started</t>
        </is>
      </c>
      <c r="C88" s="13" t="inlineStr">
        <is>
          <t>Naukrigulf</t>
        </is>
      </c>
      <c r="D88" s="14" t="inlineStr">
        <is>
          <t>IT Sales Account Manager</t>
        </is>
      </c>
      <c r="E88" s="14" t="inlineStr">
        <is>
          <t>Gerab System Solutions LLC</t>
        </is>
      </c>
      <c r="F88" s="13" t="inlineStr">
        <is>
          <t>Dubai, UAE</t>
        </is>
      </c>
      <c r="G88" s="13" t="inlineStr">
        <is>
          <t>Unknown - check listing</t>
        </is>
      </c>
      <c r="H88" s="14" t="inlineStr">
        <is>
          <t>IT distribution, 2-5yrs</t>
        </is>
      </c>
      <c r="I88" s="14" t="inlineStr">
        <is>
          <t>https://www.naukrigulf.com/it-sales-account-manager-jobs-in-dubai-uae-in-gerab-system-solutions-llc-2-to-5-years-n-cd-40004346-jid-190126501527</t>
        </is>
      </c>
      <c r="J88" s="13" t="inlineStr"/>
      <c r="K88" s="13" t="inlineStr"/>
      <c r="L88" s="26" t="inlineStr"/>
      <c r="M88" s="26" t="inlineStr"/>
    </row>
    <row r="89">
      <c r="A89" s="9" t="n">
        <v>1</v>
      </c>
      <c r="B89" s="10" t="inlineStr">
        <is>
          <t>Not started</t>
        </is>
      </c>
      <c r="C89" s="10" t="inlineStr">
        <is>
          <t>Naukrigulf</t>
        </is>
      </c>
      <c r="D89" s="11" t="inlineStr">
        <is>
          <t>Manager, Customer Experience Retention</t>
        </is>
      </c>
      <c r="E89" s="11" t="inlineStr">
        <is>
          <t>talabat</t>
        </is>
      </c>
      <c r="F89" s="10" t="inlineStr">
        <is>
          <t>Dubai, UAE</t>
        </is>
      </c>
      <c r="G89" s="10" t="inlineStr">
        <is>
          <t>Unknown - check listing</t>
        </is>
      </c>
      <c r="H89" s="11" t="inlineStr">
        <is>
          <t>Direct retention-title match at major delivery-tech brand, 5-7yrs</t>
        </is>
      </c>
      <c r="I89" s="11" t="inlineStr">
        <is>
          <t>https://www.naukrigulf.com/manager-customer-experience-retention-jobs-in-dubai-uae-in-talabat-5-to-7-years-n-cd-10005727-jid-240426500628</t>
        </is>
      </c>
      <c r="J89" s="10" t="inlineStr"/>
      <c r="K89" s="10" t="inlineStr"/>
      <c r="L89" s="26" t="inlineStr">
        <is>
          <t>CSM — Mohamed_Amer_CV_ATS_CSM.pdf</t>
        </is>
      </c>
      <c r="M89" s="26" t="inlineStr">
        <is>
          <t>Ready — job-search/Tailored_Applications_Tier1.md #43</t>
        </is>
      </c>
    </row>
    <row r="90"/>
    <row r="91">
      <c r="A91" s="21" t="inlineStr">
        <is>
          <t>Legend:</t>
        </is>
      </c>
    </row>
    <row r="92">
      <c r="A92" s="22" t="inlineStr">
        <is>
          <t>Tier 1</t>
        </is>
      </c>
      <c r="B92" s="4" t="inlineStr">
        <is>
          <t>Strongest fit - apply first</t>
        </is>
      </c>
    </row>
    <row r="93">
      <c r="A93" s="23" t="inlineStr">
        <is>
          <t>Tier 2</t>
        </is>
      </c>
      <c r="B93" s="4" t="inlineStr">
        <is>
          <t>Solid / transferable fit</t>
        </is>
      </c>
    </row>
    <row r="94">
      <c r="A94" s="24" t="inlineStr">
        <is>
          <t>Tier 3</t>
        </is>
      </c>
      <c r="B94" s="4" t="inlineStr">
        <is>
          <t>Weaker fit or needs caution (verify before applying)</t>
        </is>
      </c>
    </row>
    <row r="95">
      <c r="A95" s="25" t="inlineStr">
        <is>
          <t>Tier 0</t>
        </is>
      </c>
      <c r="B95" s="4" t="inlineStr">
        <is>
          <t>Excluded (not eligible / bad fit) - kept for visibility only</t>
        </is>
      </c>
    </row>
  </sheetData>
  <dataValidations count="1">
    <dataValidation sqref="B2:B89" showDropDown="0" showInputMessage="0" showErrorMessage="0" allowBlank="1" type="list">
      <formula1>"Not started,Tailoring in progress,Applied,Interview,Rejected,Offer,Withdrawn"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2026-08-06T09:14:30Z</dcterms:created>
  <dcterms:modified xsi:type="dcterms:W3CDTF">2026-08-06T14:02:13Z</dcterms:modified>
</cp:coreProperties>
</file>